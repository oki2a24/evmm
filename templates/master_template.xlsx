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D1" s="2" t="inlineStr">
        <is>
          <t>作成</t>
        </is>
      </c>
      <c r="P1" s="2" t="inlineStr">
        <is>
          <t>レビュー実施</t>
        </is>
      </c>
      <c r="AB1" s="2" t="inlineStr">
        <is>
          <t>レビュー後修正</t>
        </is>
      </c>
    </row>
    <row r="2">
      <c r="A2" s="3" t="inlineStr">
        <is>
          <t>No</t>
        </is>
      </c>
      <c r="B2" s="3" t="inlineStr">
        <is>
          <t>機能ID</t>
        </is>
      </c>
      <c r="C2" s="3" t="inlineStr">
        <is>
          <t>機能名称</t>
        </is>
      </c>
      <c r="D2" s="2" t="inlineStr">
        <is>
          <t>担当メンバー</t>
        </is>
      </c>
      <c r="E2" s="2" t="inlineStr">
        <is>
          <t>チームリーダー</t>
        </is>
      </c>
      <c r="F2" s="2" t="inlineStr">
        <is>
          <t>開始日予定</t>
        </is>
      </c>
      <c r="G2" s="2" t="inlineStr">
        <is>
          <t>終了日予定</t>
        </is>
      </c>
      <c r="H2" s="2" t="inlineStr">
        <is>
          <t>工数予定</t>
        </is>
      </c>
      <c r="I2" s="2" t="inlineStr">
        <is>
          <t>開始日実績</t>
        </is>
      </c>
      <c r="J2" s="2" t="inlineStr">
        <is>
          <t>終了日実績</t>
        </is>
      </c>
      <c r="K2" s="2" t="inlineStr">
        <is>
          <t>工数実績</t>
        </is>
      </c>
      <c r="L2" s="2" t="inlineStr">
        <is>
          <t>進捗率(%)</t>
        </is>
      </c>
      <c r="M2" s="2" t="inlineStr">
        <is>
          <t>PV (計画値)</t>
        </is>
      </c>
      <c r="N2" s="2" t="inlineStr">
        <is>
          <t>EV (出来高)</t>
        </is>
      </c>
      <c r="O2" s="2" t="inlineStr">
        <is>
          <t>AC (実績コスト)</t>
        </is>
      </c>
      <c r="P2" s="2" t="inlineStr">
        <is>
          <t>担当メンバー</t>
        </is>
      </c>
      <c r="Q2" s="2" t="inlineStr">
        <is>
          <t>チームリーダー</t>
        </is>
      </c>
      <c r="R2" s="2" t="inlineStr">
        <is>
          <t>開始日予定</t>
        </is>
      </c>
      <c r="S2" s="2" t="inlineStr">
        <is>
          <t>終了日予定</t>
        </is>
      </c>
      <c r="T2" s="2" t="inlineStr">
        <is>
          <t>工数予定</t>
        </is>
      </c>
      <c r="U2" s="2" t="inlineStr">
        <is>
          <t>開始日実績</t>
        </is>
      </c>
      <c r="V2" s="2" t="inlineStr">
        <is>
          <t>終了日実績</t>
        </is>
      </c>
      <c r="W2" s="2" t="inlineStr">
        <is>
          <t>工数実績</t>
        </is>
      </c>
      <c r="X2" s="2" t="inlineStr">
        <is>
          <t>進捗率(%)</t>
        </is>
      </c>
      <c r="Y2" s="2" t="inlineStr">
        <is>
          <t>PV (計画値)</t>
        </is>
      </c>
      <c r="Z2" s="2" t="inlineStr">
        <is>
          <t>EV (出来高)</t>
        </is>
      </c>
      <c r="AA2" s="2" t="inlineStr">
        <is>
          <t>AC (実績コスト)</t>
        </is>
      </c>
      <c r="AB2" s="2" t="inlineStr">
        <is>
          <t>担当メンバー</t>
        </is>
      </c>
      <c r="AC2" s="2" t="inlineStr">
        <is>
          <t>チームリーダー</t>
        </is>
      </c>
      <c r="AD2" s="2" t="inlineStr">
        <is>
          <t>開始日予定</t>
        </is>
      </c>
      <c r="AE2" s="2" t="inlineStr">
        <is>
          <t>終了日予定</t>
        </is>
      </c>
      <c r="AF2" s="2" t="inlineStr">
        <is>
          <t>工数予定</t>
        </is>
      </c>
      <c r="AG2" s="2" t="inlineStr">
        <is>
          <t>開始日実績</t>
        </is>
      </c>
      <c r="AH2" s="2" t="inlineStr">
        <is>
          <t>終了日実績</t>
        </is>
      </c>
      <c r="AI2" s="2" t="inlineStr">
        <is>
          <t>工数実績</t>
        </is>
      </c>
      <c r="AJ2" s="2" t="inlineStr">
        <is>
          <t>進捗率(%)</t>
        </is>
      </c>
      <c r="AK2" s="2" t="inlineStr">
        <is>
          <t>PV (計画値)</t>
        </is>
      </c>
      <c r="AL2" s="2" t="inlineStr">
        <is>
          <t>EV (出来高)</t>
        </is>
      </c>
      <c r="AM2" s="2" t="inlineStr">
        <is>
          <t>AC (実績コスト)</t>
        </is>
      </c>
    </row>
    <row r="3">
      <c r="M3">
        <f>IF(TODAY()&lt;F3, 0, IF(TODAY()&gt;G3, H3, H3 * (TODAY()-F3)/(G3-F3+1)))</f>
        <v/>
      </c>
      <c r="N3">
        <f>H3 * L3</f>
        <v/>
      </c>
      <c r="O3">
        <f>K3</f>
        <v/>
      </c>
      <c r="Y3">
        <f>IF(TODAY()&lt;R3, 0, IF(TODAY()&gt;S3, T3, T3 * (TODAY()-R3)/(S3-R3+1)))</f>
        <v/>
      </c>
      <c r="Z3">
        <f>T3 * X3</f>
        <v/>
      </c>
      <c r="AA3">
        <f>W3</f>
        <v/>
      </c>
      <c r="AK3">
        <f>IF(TODAY()&lt;AD3, 0, IF(TODAY()&gt;AE3, AF3, AF3 * (TODAY()-AD3)/(AE3-AD3+1)))</f>
        <v/>
      </c>
      <c r="AL3">
        <f>AF3 * AJ3</f>
        <v/>
      </c>
      <c r="AM3">
        <f>AI3</f>
        <v/>
      </c>
    </row>
    <row r="4">
      <c r="M4">
        <f>IF(TODAY()&lt;F4, 0, IF(TODAY()&gt;G4, H4, H4 * (TODAY()-F4)/(G4-F4+1)))</f>
        <v/>
      </c>
      <c r="N4">
        <f>H4 * L4</f>
        <v/>
      </c>
      <c r="O4">
        <f>K4</f>
        <v/>
      </c>
      <c r="Y4">
        <f>IF(TODAY()&lt;R4, 0, IF(TODAY()&gt;S4, T4, T4 * (TODAY()-R4)/(S4-R4+1)))</f>
        <v/>
      </c>
      <c r="Z4">
        <f>T4 * X4</f>
        <v/>
      </c>
      <c r="AA4">
        <f>W4</f>
        <v/>
      </c>
      <c r="AK4">
        <f>IF(TODAY()&lt;AD4, 0, IF(TODAY()&gt;AE4, AF4, AF4 * (TODAY()-AD4)/(AE4-AD4+1)))</f>
        <v/>
      </c>
      <c r="AL4">
        <f>AF4 * AJ4</f>
        <v/>
      </c>
      <c r="AM4">
        <f>AI4</f>
        <v/>
      </c>
    </row>
    <row r="5">
      <c r="M5">
        <f>IF(TODAY()&lt;F5, 0, IF(TODAY()&gt;G5, H5, H5 * (TODAY()-F5)/(G5-F5+1)))</f>
        <v/>
      </c>
      <c r="N5">
        <f>H5 * L5</f>
        <v/>
      </c>
      <c r="O5">
        <f>K5</f>
        <v/>
      </c>
      <c r="Y5">
        <f>IF(TODAY()&lt;R5, 0, IF(TODAY()&gt;S5, T5, T5 * (TODAY()-R5)/(S5-R5+1)))</f>
        <v/>
      </c>
      <c r="Z5">
        <f>T5 * X5</f>
        <v/>
      </c>
      <c r="AA5">
        <f>W5</f>
        <v/>
      </c>
      <c r="AK5">
        <f>IF(TODAY()&lt;AD5, 0, IF(TODAY()&gt;AE5, AF5, AF5 * (TODAY()-AD5)/(AE5-AD5+1)))</f>
        <v/>
      </c>
      <c r="AL5">
        <f>AF5 * AJ5</f>
        <v/>
      </c>
      <c r="AM5">
        <f>AI5</f>
        <v/>
      </c>
    </row>
    <row r="6">
      <c r="M6">
        <f>IF(TODAY()&lt;F6, 0, IF(TODAY()&gt;G6, H6, H6 * (TODAY()-F6)/(G6-F6+1)))</f>
        <v/>
      </c>
      <c r="N6">
        <f>H6 * L6</f>
        <v/>
      </c>
      <c r="O6">
        <f>K6</f>
        <v/>
      </c>
      <c r="Y6">
        <f>IF(TODAY()&lt;R6, 0, IF(TODAY()&gt;S6, T6, T6 * (TODAY()-R6)/(S6-R6+1)))</f>
        <v/>
      </c>
      <c r="Z6">
        <f>T6 * X6</f>
        <v/>
      </c>
      <c r="AA6">
        <f>W6</f>
        <v/>
      </c>
      <c r="AK6">
        <f>IF(TODAY()&lt;AD6, 0, IF(TODAY()&gt;AE6, AF6, AF6 * (TODAY()-AD6)/(AE6-AD6+1)))</f>
        <v/>
      </c>
      <c r="AL6">
        <f>AF6 * AJ6</f>
        <v/>
      </c>
      <c r="AM6">
        <f>AI6</f>
        <v/>
      </c>
    </row>
    <row r="7">
      <c r="M7">
        <f>IF(TODAY()&lt;F7, 0, IF(TODAY()&gt;G7, H7, H7 * (TODAY()-F7)/(G7-F7+1)))</f>
        <v/>
      </c>
      <c r="N7">
        <f>H7 * L7</f>
        <v/>
      </c>
      <c r="O7">
        <f>K7</f>
        <v/>
      </c>
      <c r="Y7">
        <f>IF(TODAY()&lt;R7, 0, IF(TODAY()&gt;S7, T7, T7 * (TODAY()-R7)/(S7-R7+1)))</f>
        <v/>
      </c>
      <c r="Z7">
        <f>T7 * X7</f>
        <v/>
      </c>
      <c r="AA7">
        <f>W7</f>
        <v/>
      </c>
      <c r="AK7">
        <f>IF(TODAY()&lt;AD7, 0, IF(TODAY()&gt;AE7, AF7, AF7 * (TODAY()-AD7)/(AE7-AD7+1)))</f>
        <v/>
      </c>
      <c r="AL7">
        <f>AF7 * AJ7</f>
        <v/>
      </c>
      <c r="AM7">
        <f>AI7</f>
        <v/>
      </c>
    </row>
    <row r="8">
      <c r="M8">
        <f>IF(TODAY()&lt;F8, 0, IF(TODAY()&gt;G8, H8, H8 * (TODAY()-F8)/(G8-F8+1)))</f>
        <v/>
      </c>
      <c r="N8">
        <f>H8 * L8</f>
        <v/>
      </c>
      <c r="O8">
        <f>K8</f>
        <v/>
      </c>
      <c r="Y8">
        <f>IF(TODAY()&lt;R8, 0, IF(TODAY()&gt;S8, T8, T8 * (TODAY()-R8)/(S8-R8+1)))</f>
        <v/>
      </c>
      <c r="Z8">
        <f>T8 * X8</f>
        <v/>
      </c>
      <c r="AA8">
        <f>W8</f>
        <v/>
      </c>
      <c r="AK8">
        <f>IF(TODAY()&lt;AD8, 0, IF(TODAY()&gt;AE8, AF8, AF8 * (TODAY()-AD8)/(AE8-AD8+1)))</f>
        <v/>
      </c>
      <c r="AL8">
        <f>AF8 * AJ8</f>
        <v/>
      </c>
      <c r="AM8">
        <f>AI8</f>
        <v/>
      </c>
    </row>
    <row r="9">
      <c r="M9">
        <f>IF(TODAY()&lt;F9, 0, IF(TODAY()&gt;G9, H9, H9 * (TODAY()-F9)/(G9-F9+1)))</f>
        <v/>
      </c>
      <c r="N9">
        <f>H9 * L9</f>
        <v/>
      </c>
      <c r="O9">
        <f>K9</f>
        <v/>
      </c>
      <c r="Y9">
        <f>IF(TODAY()&lt;R9, 0, IF(TODAY()&gt;S9, T9, T9 * (TODAY()-R9)/(S9-R9+1)))</f>
        <v/>
      </c>
      <c r="Z9">
        <f>T9 * X9</f>
        <v/>
      </c>
      <c r="AA9">
        <f>W9</f>
        <v/>
      </c>
      <c r="AK9">
        <f>IF(TODAY()&lt;AD9, 0, IF(TODAY()&gt;AE9, AF9, AF9 * (TODAY()-AD9)/(AE9-AD9+1)))</f>
        <v/>
      </c>
      <c r="AL9">
        <f>AF9 * AJ9</f>
        <v/>
      </c>
      <c r="AM9">
        <f>AI9</f>
        <v/>
      </c>
    </row>
    <row r="10">
      <c r="M10">
        <f>IF(TODAY()&lt;F10, 0, IF(TODAY()&gt;G10, H10, H10 * (TODAY()-F10)/(G10-F10+1)))</f>
        <v/>
      </c>
      <c r="N10">
        <f>H10 * L10</f>
        <v/>
      </c>
      <c r="O10">
        <f>K10</f>
        <v/>
      </c>
      <c r="Y10">
        <f>IF(TODAY()&lt;R10, 0, IF(TODAY()&gt;S10, T10, T10 * (TODAY()-R10)/(S10-R10+1)))</f>
        <v/>
      </c>
      <c r="Z10">
        <f>T10 * X10</f>
        <v/>
      </c>
      <c r="AA10">
        <f>W10</f>
        <v/>
      </c>
      <c r="AK10">
        <f>IF(TODAY()&lt;AD10, 0, IF(TODAY()&gt;AE10, AF10, AF10 * (TODAY()-AD10)/(AE10-AD10+1)))</f>
        <v/>
      </c>
      <c r="AL10">
        <f>AF10 * AJ10</f>
        <v/>
      </c>
      <c r="AM10">
        <f>AI10</f>
        <v/>
      </c>
    </row>
    <row r="11">
      <c r="M11">
        <f>IF(TODAY()&lt;F11, 0, IF(TODAY()&gt;G11, H11, H11 * (TODAY()-F11)/(G11-F11+1)))</f>
        <v/>
      </c>
      <c r="N11">
        <f>H11 * L11</f>
        <v/>
      </c>
      <c r="O11">
        <f>K11</f>
        <v/>
      </c>
      <c r="Y11">
        <f>IF(TODAY()&lt;R11, 0, IF(TODAY()&gt;S11, T11, T11 * (TODAY()-R11)/(S11-R11+1)))</f>
        <v/>
      </c>
      <c r="Z11">
        <f>T11 * X11</f>
        <v/>
      </c>
      <c r="AA11">
        <f>W11</f>
        <v/>
      </c>
      <c r="AK11">
        <f>IF(TODAY()&lt;AD11, 0, IF(TODAY()&gt;AE11, AF11, AF11 * (TODAY()-AD11)/(AE11-AD11+1)))</f>
        <v/>
      </c>
      <c r="AL11">
        <f>AF11 * AJ11</f>
        <v/>
      </c>
      <c r="AM11">
        <f>AI11</f>
        <v/>
      </c>
    </row>
    <row r="12">
      <c r="M12">
        <f>IF(TODAY()&lt;F12, 0, IF(TODAY()&gt;G12, H12, H12 * (TODAY()-F12)/(G12-F12+1)))</f>
        <v/>
      </c>
      <c r="N12">
        <f>H12 * L12</f>
        <v/>
      </c>
      <c r="O12">
        <f>K12</f>
        <v/>
      </c>
      <c r="Y12">
        <f>IF(TODAY()&lt;R12, 0, IF(TODAY()&gt;S12, T12, T12 * (TODAY()-R12)/(S12-R12+1)))</f>
        <v/>
      </c>
      <c r="Z12">
        <f>T12 * X12</f>
        <v/>
      </c>
      <c r="AA12">
        <f>W12</f>
        <v/>
      </c>
      <c r="AK12">
        <f>IF(TODAY()&lt;AD12, 0, IF(TODAY()&gt;AE12, AF12, AF12 * (TODAY()-AD12)/(AE12-AD12+1)))</f>
        <v/>
      </c>
      <c r="AL12">
        <f>AF12 * AJ12</f>
        <v/>
      </c>
      <c r="AM12">
        <f>AI12</f>
        <v/>
      </c>
    </row>
    <row r="13">
      <c r="M13">
        <f>IF(TODAY()&lt;F13, 0, IF(TODAY()&gt;G13, H13, H13 * (TODAY()-F13)/(G13-F13+1)))</f>
        <v/>
      </c>
      <c r="N13">
        <f>H13 * L13</f>
        <v/>
      </c>
      <c r="O13">
        <f>K13</f>
        <v/>
      </c>
      <c r="Y13">
        <f>IF(TODAY()&lt;R13, 0, IF(TODAY()&gt;S13, T13, T13 * (TODAY()-R13)/(S13-R13+1)))</f>
        <v/>
      </c>
      <c r="Z13">
        <f>T13 * X13</f>
        <v/>
      </c>
      <c r="AA13">
        <f>W13</f>
        <v/>
      </c>
      <c r="AK13">
        <f>IF(TODAY()&lt;AD13, 0, IF(TODAY()&gt;AE13, AF13, AF13 * (TODAY()-AD13)/(AE13-AD13+1)))</f>
        <v/>
      </c>
      <c r="AL13">
        <f>AF13 * AJ13</f>
        <v/>
      </c>
      <c r="AM13">
        <f>AI13</f>
        <v/>
      </c>
    </row>
    <row r="14">
      <c r="M14">
        <f>IF(TODAY()&lt;F14, 0, IF(TODAY()&gt;G14, H14, H14 * (TODAY()-F14)/(G14-F14+1)))</f>
        <v/>
      </c>
      <c r="N14">
        <f>H14 * L14</f>
        <v/>
      </c>
      <c r="O14">
        <f>K14</f>
        <v/>
      </c>
      <c r="Y14">
        <f>IF(TODAY()&lt;R14, 0, IF(TODAY()&gt;S14, T14, T14 * (TODAY()-R14)/(S14-R14+1)))</f>
        <v/>
      </c>
      <c r="Z14">
        <f>T14 * X14</f>
        <v/>
      </c>
      <c r="AA14">
        <f>W14</f>
        <v/>
      </c>
      <c r="AK14">
        <f>IF(TODAY()&lt;AD14, 0, IF(TODAY()&gt;AE14, AF14, AF14 * (TODAY()-AD14)/(AE14-AD14+1)))</f>
        <v/>
      </c>
      <c r="AL14">
        <f>AF14 * AJ14</f>
        <v/>
      </c>
      <c r="AM14">
        <f>AI14</f>
        <v/>
      </c>
    </row>
    <row r="15">
      <c r="M15">
        <f>IF(TODAY()&lt;F15, 0, IF(TODAY()&gt;G15, H15, H15 * (TODAY()-F15)/(G15-F15+1)))</f>
        <v/>
      </c>
      <c r="N15">
        <f>H15 * L15</f>
        <v/>
      </c>
      <c r="O15">
        <f>K15</f>
        <v/>
      </c>
      <c r="Y15">
        <f>IF(TODAY()&lt;R15, 0, IF(TODAY()&gt;S15, T15, T15 * (TODAY()-R15)/(S15-R15+1)))</f>
        <v/>
      </c>
      <c r="Z15">
        <f>T15 * X15</f>
        <v/>
      </c>
      <c r="AA15">
        <f>W15</f>
        <v/>
      </c>
      <c r="AK15">
        <f>IF(TODAY()&lt;AD15, 0, IF(TODAY()&gt;AE15, AF15, AF15 * (TODAY()-AD15)/(AE15-AD15+1)))</f>
        <v/>
      </c>
      <c r="AL15">
        <f>AF15 * AJ15</f>
        <v/>
      </c>
      <c r="AM15">
        <f>AI15</f>
        <v/>
      </c>
    </row>
    <row r="16">
      <c r="M16">
        <f>IF(TODAY()&lt;F16, 0, IF(TODAY()&gt;G16, H16, H16 * (TODAY()-F16)/(G16-F16+1)))</f>
        <v/>
      </c>
      <c r="N16">
        <f>H16 * L16</f>
        <v/>
      </c>
      <c r="O16">
        <f>K16</f>
        <v/>
      </c>
      <c r="Y16">
        <f>IF(TODAY()&lt;R16, 0, IF(TODAY()&gt;S16, T16, T16 * (TODAY()-R16)/(S16-R16+1)))</f>
        <v/>
      </c>
      <c r="Z16">
        <f>T16 * X16</f>
        <v/>
      </c>
      <c r="AA16">
        <f>W16</f>
        <v/>
      </c>
      <c r="AK16">
        <f>IF(TODAY()&lt;AD16, 0, IF(TODAY()&gt;AE16, AF16, AF16 * (TODAY()-AD16)/(AE16-AD16+1)))</f>
        <v/>
      </c>
      <c r="AL16">
        <f>AF16 * AJ16</f>
        <v/>
      </c>
      <c r="AM16">
        <f>AI16</f>
        <v/>
      </c>
    </row>
    <row r="17">
      <c r="M17">
        <f>IF(TODAY()&lt;F17, 0, IF(TODAY()&gt;G17, H17, H17 * (TODAY()-F17)/(G17-F17+1)))</f>
        <v/>
      </c>
      <c r="N17">
        <f>H17 * L17</f>
        <v/>
      </c>
      <c r="O17">
        <f>K17</f>
        <v/>
      </c>
      <c r="Y17">
        <f>IF(TODAY()&lt;R17, 0, IF(TODAY()&gt;S17, T17, T17 * (TODAY()-R17)/(S17-R17+1)))</f>
        <v/>
      </c>
      <c r="Z17">
        <f>T17 * X17</f>
        <v/>
      </c>
      <c r="AA17">
        <f>W17</f>
        <v/>
      </c>
      <c r="AK17">
        <f>IF(TODAY()&lt;AD17, 0, IF(TODAY()&gt;AE17, AF17, AF17 * (TODAY()-AD17)/(AE17-AD17+1)))</f>
        <v/>
      </c>
      <c r="AL17">
        <f>AF17 * AJ17</f>
        <v/>
      </c>
      <c r="AM17">
        <f>AI17</f>
        <v/>
      </c>
    </row>
    <row r="18">
      <c r="M18">
        <f>IF(TODAY()&lt;F18, 0, IF(TODAY()&gt;G18, H18, H18 * (TODAY()-F18)/(G18-F18+1)))</f>
        <v/>
      </c>
      <c r="N18">
        <f>H18 * L18</f>
        <v/>
      </c>
      <c r="O18">
        <f>K18</f>
        <v/>
      </c>
      <c r="Y18">
        <f>IF(TODAY()&lt;R18, 0, IF(TODAY()&gt;S18, T18, T18 * (TODAY()-R18)/(S18-R18+1)))</f>
        <v/>
      </c>
      <c r="Z18">
        <f>T18 * X18</f>
        <v/>
      </c>
      <c r="AA18">
        <f>W18</f>
        <v/>
      </c>
      <c r="AK18">
        <f>IF(TODAY()&lt;AD18, 0, IF(TODAY()&gt;AE18, AF18, AF18 * (TODAY()-AD18)/(AE18-AD18+1)))</f>
        <v/>
      </c>
      <c r="AL18">
        <f>AF18 * AJ18</f>
        <v/>
      </c>
      <c r="AM18">
        <f>AI18</f>
        <v/>
      </c>
    </row>
    <row r="19">
      <c r="M19">
        <f>IF(TODAY()&lt;F19, 0, IF(TODAY()&gt;G19, H19, H19 * (TODAY()-F19)/(G19-F19+1)))</f>
        <v/>
      </c>
      <c r="N19">
        <f>H19 * L19</f>
        <v/>
      </c>
      <c r="O19">
        <f>K19</f>
        <v/>
      </c>
      <c r="Y19">
        <f>IF(TODAY()&lt;R19, 0, IF(TODAY()&gt;S19, T19, T19 * (TODAY()-R19)/(S19-R19+1)))</f>
        <v/>
      </c>
      <c r="Z19">
        <f>T19 * X19</f>
        <v/>
      </c>
      <c r="AA19">
        <f>W19</f>
        <v/>
      </c>
      <c r="AK19">
        <f>IF(TODAY()&lt;AD19, 0, IF(TODAY()&gt;AE19, AF19, AF19 * (TODAY()-AD19)/(AE19-AD19+1)))</f>
        <v/>
      </c>
      <c r="AL19">
        <f>AF19 * AJ19</f>
        <v/>
      </c>
      <c r="AM19">
        <f>AI19</f>
        <v/>
      </c>
    </row>
    <row r="20">
      <c r="M20">
        <f>IF(TODAY()&lt;F20, 0, IF(TODAY()&gt;G20, H20, H20 * (TODAY()-F20)/(G20-F20+1)))</f>
        <v/>
      </c>
      <c r="N20">
        <f>H20 * L20</f>
        <v/>
      </c>
      <c r="O20">
        <f>K20</f>
        <v/>
      </c>
      <c r="Y20">
        <f>IF(TODAY()&lt;R20, 0, IF(TODAY()&gt;S20, T20, T20 * (TODAY()-R20)/(S20-R20+1)))</f>
        <v/>
      </c>
      <c r="Z20">
        <f>T20 * X20</f>
        <v/>
      </c>
      <c r="AA20">
        <f>W20</f>
        <v/>
      </c>
      <c r="AK20">
        <f>IF(TODAY()&lt;AD20, 0, IF(TODAY()&gt;AE20, AF20, AF20 * (TODAY()-AD20)/(AE20-AD20+1)))</f>
        <v/>
      </c>
      <c r="AL20">
        <f>AF20 * AJ20</f>
        <v/>
      </c>
      <c r="AM20">
        <f>AI20</f>
        <v/>
      </c>
    </row>
    <row r="21">
      <c r="M21">
        <f>IF(TODAY()&lt;F21, 0, IF(TODAY()&gt;G21, H21, H21 * (TODAY()-F21)/(G21-F21+1)))</f>
        <v/>
      </c>
      <c r="N21">
        <f>H21 * L21</f>
        <v/>
      </c>
      <c r="O21">
        <f>K21</f>
        <v/>
      </c>
      <c r="Y21">
        <f>IF(TODAY()&lt;R21, 0, IF(TODAY()&gt;S21, T21, T21 * (TODAY()-R21)/(S21-R21+1)))</f>
        <v/>
      </c>
      <c r="Z21">
        <f>T21 * X21</f>
        <v/>
      </c>
      <c r="AA21">
        <f>W21</f>
        <v/>
      </c>
      <c r="AK21">
        <f>IF(TODAY()&lt;AD21, 0, IF(TODAY()&gt;AE21, AF21, AF21 * (TODAY()-AD21)/(AE21-AD21+1)))</f>
        <v/>
      </c>
      <c r="AL21">
        <f>AF21 * AJ21</f>
        <v/>
      </c>
      <c r="AM21">
        <f>AI21</f>
        <v/>
      </c>
    </row>
    <row r="22">
      <c r="M22">
        <f>IF(TODAY()&lt;F22, 0, IF(TODAY()&gt;G22, H22, H22 * (TODAY()-F22)/(G22-F22+1)))</f>
        <v/>
      </c>
      <c r="N22">
        <f>H22 * L22</f>
        <v/>
      </c>
      <c r="O22">
        <f>K22</f>
        <v/>
      </c>
      <c r="Y22">
        <f>IF(TODAY()&lt;R22, 0, IF(TODAY()&gt;S22, T22, T22 * (TODAY()-R22)/(S22-R22+1)))</f>
        <v/>
      </c>
      <c r="Z22">
        <f>T22 * X22</f>
        <v/>
      </c>
      <c r="AA22">
        <f>W22</f>
        <v/>
      </c>
      <c r="AK22">
        <f>IF(TODAY()&lt;AD22, 0, IF(TODAY()&gt;AE22, AF22, AF22 * (TODAY()-AD22)/(AE22-AD22+1)))</f>
        <v/>
      </c>
      <c r="AL22">
        <f>AF22 * AJ22</f>
        <v/>
      </c>
      <c r="AM22">
        <f>AI22</f>
        <v/>
      </c>
    </row>
    <row r="23">
      <c r="M23">
        <f>IF(TODAY()&lt;F23, 0, IF(TODAY()&gt;G23, H23, H23 * (TODAY()-F23)/(G23-F23+1)))</f>
        <v/>
      </c>
      <c r="N23">
        <f>H23 * L23</f>
        <v/>
      </c>
      <c r="O23">
        <f>K23</f>
        <v/>
      </c>
      <c r="Y23">
        <f>IF(TODAY()&lt;R23, 0, IF(TODAY()&gt;S23, T23, T23 * (TODAY()-R23)/(S23-R23+1)))</f>
        <v/>
      </c>
      <c r="Z23">
        <f>T23 * X23</f>
        <v/>
      </c>
      <c r="AA23">
        <f>W23</f>
        <v/>
      </c>
      <c r="AK23">
        <f>IF(TODAY()&lt;AD23, 0, IF(TODAY()&gt;AE23, AF23, AF23 * (TODAY()-AD23)/(AE23-AD23+1)))</f>
        <v/>
      </c>
      <c r="AL23">
        <f>AF23 * AJ23</f>
        <v/>
      </c>
      <c r="AM23">
        <f>AI23</f>
        <v/>
      </c>
    </row>
    <row r="24">
      <c r="M24">
        <f>IF(TODAY()&lt;F24, 0, IF(TODAY()&gt;G24, H24, H24 * (TODAY()-F24)/(G24-F24+1)))</f>
        <v/>
      </c>
      <c r="N24">
        <f>H24 * L24</f>
        <v/>
      </c>
      <c r="O24">
        <f>K24</f>
        <v/>
      </c>
      <c r="Y24">
        <f>IF(TODAY()&lt;R24, 0, IF(TODAY()&gt;S24, T24, T24 * (TODAY()-R24)/(S24-R24+1)))</f>
        <v/>
      </c>
      <c r="Z24">
        <f>T24 * X24</f>
        <v/>
      </c>
      <c r="AA24">
        <f>W24</f>
        <v/>
      </c>
      <c r="AK24">
        <f>IF(TODAY()&lt;AD24, 0, IF(TODAY()&gt;AE24, AF24, AF24 * (TODAY()-AD24)/(AE24-AD24+1)))</f>
        <v/>
      </c>
      <c r="AL24">
        <f>AF24 * AJ24</f>
        <v/>
      </c>
      <c r="AM24">
        <f>AI24</f>
        <v/>
      </c>
    </row>
    <row r="25">
      <c r="M25">
        <f>IF(TODAY()&lt;F25, 0, IF(TODAY()&gt;G25, H25, H25 * (TODAY()-F25)/(G25-F25+1)))</f>
        <v/>
      </c>
      <c r="N25">
        <f>H25 * L25</f>
        <v/>
      </c>
      <c r="O25">
        <f>K25</f>
        <v/>
      </c>
      <c r="Y25">
        <f>IF(TODAY()&lt;R25, 0, IF(TODAY()&gt;S25, T25, T25 * (TODAY()-R25)/(S25-R25+1)))</f>
        <v/>
      </c>
      <c r="Z25">
        <f>T25 * X25</f>
        <v/>
      </c>
      <c r="AA25">
        <f>W25</f>
        <v/>
      </c>
      <c r="AK25">
        <f>IF(TODAY()&lt;AD25, 0, IF(TODAY()&gt;AE25, AF25, AF25 * (TODAY()-AD25)/(AE25-AD25+1)))</f>
        <v/>
      </c>
      <c r="AL25">
        <f>AF25 * AJ25</f>
        <v/>
      </c>
      <c r="AM25">
        <f>AI25</f>
        <v/>
      </c>
    </row>
    <row r="26">
      <c r="M26">
        <f>IF(TODAY()&lt;F26, 0, IF(TODAY()&gt;G26, H26, H26 * (TODAY()-F26)/(G26-F26+1)))</f>
        <v/>
      </c>
      <c r="N26">
        <f>H26 * L26</f>
        <v/>
      </c>
      <c r="O26">
        <f>K26</f>
        <v/>
      </c>
      <c r="Y26">
        <f>IF(TODAY()&lt;R26, 0, IF(TODAY()&gt;S26, T26, T26 * (TODAY()-R26)/(S26-R26+1)))</f>
        <v/>
      </c>
      <c r="Z26">
        <f>T26 * X26</f>
        <v/>
      </c>
      <c r="AA26">
        <f>W26</f>
        <v/>
      </c>
      <c r="AK26">
        <f>IF(TODAY()&lt;AD26, 0, IF(TODAY()&gt;AE26, AF26, AF26 * (TODAY()-AD26)/(AE26-AD26+1)))</f>
        <v/>
      </c>
      <c r="AL26">
        <f>AF26 * AJ26</f>
        <v/>
      </c>
      <c r="AM26">
        <f>AI26</f>
        <v/>
      </c>
    </row>
    <row r="27">
      <c r="M27">
        <f>IF(TODAY()&lt;F27, 0, IF(TODAY()&gt;G27, H27, H27 * (TODAY()-F27)/(G27-F27+1)))</f>
        <v/>
      </c>
      <c r="N27">
        <f>H27 * L27</f>
        <v/>
      </c>
      <c r="O27">
        <f>K27</f>
        <v/>
      </c>
      <c r="Y27">
        <f>IF(TODAY()&lt;R27, 0, IF(TODAY()&gt;S27, T27, T27 * (TODAY()-R27)/(S27-R27+1)))</f>
        <v/>
      </c>
      <c r="Z27">
        <f>T27 * X27</f>
        <v/>
      </c>
      <c r="AA27">
        <f>W27</f>
        <v/>
      </c>
      <c r="AK27">
        <f>IF(TODAY()&lt;AD27, 0, IF(TODAY()&gt;AE27, AF27, AF27 * (TODAY()-AD27)/(AE27-AD27+1)))</f>
        <v/>
      </c>
      <c r="AL27">
        <f>AF27 * AJ27</f>
        <v/>
      </c>
      <c r="AM27">
        <f>AI27</f>
        <v/>
      </c>
    </row>
    <row r="28">
      <c r="M28">
        <f>IF(TODAY()&lt;F28, 0, IF(TODAY()&gt;G28, H28, H28 * (TODAY()-F28)/(G28-F28+1)))</f>
        <v/>
      </c>
      <c r="N28">
        <f>H28 * L28</f>
        <v/>
      </c>
      <c r="O28">
        <f>K28</f>
        <v/>
      </c>
      <c r="Y28">
        <f>IF(TODAY()&lt;R28, 0, IF(TODAY()&gt;S28, T28, T28 * (TODAY()-R28)/(S28-R28+1)))</f>
        <v/>
      </c>
      <c r="Z28">
        <f>T28 * X28</f>
        <v/>
      </c>
      <c r="AA28">
        <f>W28</f>
        <v/>
      </c>
      <c r="AK28">
        <f>IF(TODAY()&lt;AD28, 0, IF(TODAY()&gt;AE28, AF28, AF28 * (TODAY()-AD28)/(AE28-AD28+1)))</f>
        <v/>
      </c>
      <c r="AL28">
        <f>AF28 * AJ28</f>
        <v/>
      </c>
      <c r="AM28">
        <f>AI28</f>
        <v/>
      </c>
    </row>
    <row r="29">
      <c r="M29">
        <f>IF(TODAY()&lt;F29, 0, IF(TODAY()&gt;G29, H29, H29 * (TODAY()-F29)/(G29-F29+1)))</f>
        <v/>
      </c>
      <c r="N29">
        <f>H29 * L29</f>
        <v/>
      </c>
      <c r="O29">
        <f>K29</f>
        <v/>
      </c>
      <c r="Y29">
        <f>IF(TODAY()&lt;R29, 0, IF(TODAY()&gt;S29, T29, T29 * (TODAY()-R29)/(S29-R29+1)))</f>
        <v/>
      </c>
      <c r="Z29">
        <f>T29 * X29</f>
        <v/>
      </c>
      <c r="AA29">
        <f>W29</f>
        <v/>
      </c>
      <c r="AK29">
        <f>IF(TODAY()&lt;AD29, 0, IF(TODAY()&gt;AE29, AF29, AF29 * (TODAY()-AD29)/(AE29-AD29+1)))</f>
        <v/>
      </c>
      <c r="AL29">
        <f>AF29 * AJ29</f>
        <v/>
      </c>
      <c r="AM29">
        <f>AI29</f>
        <v/>
      </c>
    </row>
    <row r="30">
      <c r="M30">
        <f>IF(TODAY()&lt;F30, 0, IF(TODAY()&gt;G30, H30, H30 * (TODAY()-F30)/(G30-F30+1)))</f>
        <v/>
      </c>
      <c r="N30">
        <f>H30 * L30</f>
        <v/>
      </c>
      <c r="O30">
        <f>K30</f>
        <v/>
      </c>
      <c r="Y30">
        <f>IF(TODAY()&lt;R30, 0, IF(TODAY()&gt;S30, T30, T30 * (TODAY()-R30)/(S30-R30+1)))</f>
        <v/>
      </c>
      <c r="Z30">
        <f>T30 * X30</f>
        <v/>
      </c>
      <c r="AA30">
        <f>W30</f>
        <v/>
      </c>
      <c r="AK30">
        <f>IF(TODAY()&lt;AD30, 0, IF(TODAY()&gt;AE30, AF30, AF30 * (TODAY()-AD30)/(AE30-AD30+1)))</f>
        <v/>
      </c>
      <c r="AL30">
        <f>AF30 * AJ30</f>
        <v/>
      </c>
      <c r="AM30">
        <f>AI30</f>
        <v/>
      </c>
    </row>
    <row r="31">
      <c r="M31">
        <f>IF(TODAY()&lt;F31, 0, IF(TODAY()&gt;G31, H31, H31 * (TODAY()-F31)/(G31-F31+1)))</f>
        <v/>
      </c>
      <c r="N31">
        <f>H31 * L31</f>
        <v/>
      </c>
      <c r="O31">
        <f>K31</f>
        <v/>
      </c>
      <c r="Y31">
        <f>IF(TODAY()&lt;R31, 0, IF(TODAY()&gt;S31, T31, T31 * (TODAY()-R31)/(S31-R31+1)))</f>
        <v/>
      </c>
      <c r="Z31">
        <f>T31 * X31</f>
        <v/>
      </c>
      <c r="AA31">
        <f>W31</f>
        <v/>
      </c>
      <c r="AK31">
        <f>IF(TODAY()&lt;AD31, 0, IF(TODAY()&gt;AE31, AF31, AF31 * (TODAY()-AD31)/(AE31-AD31+1)))</f>
        <v/>
      </c>
      <c r="AL31">
        <f>AF31 * AJ31</f>
        <v/>
      </c>
      <c r="AM31">
        <f>AI31</f>
        <v/>
      </c>
    </row>
    <row r="32">
      <c r="M32">
        <f>IF(TODAY()&lt;F32, 0, IF(TODAY()&gt;G32, H32, H32 * (TODAY()-F32)/(G32-F32+1)))</f>
        <v/>
      </c>
      <c r="N32">
        <f>H32 * L32</f>
        <v/>
      </c>
      <c r="O32">
        <f>K32</f>
        <v/>
      </c>
      <c r="Y32">
        <f>IF(TODAY()&lt;R32, 0, IF(TODAY()&gt;S32, T32, T32 * (TODAY()-R32)/(S32-R32+1)))</f>
        <v/>
      </c>
      <c r="Z32">
        <f>T32 * X32</f>
        <v/>
      </c>
      <c r="AA32">
        <f>W32</f>
        <v/>
      </c>
      <c r="AK32">
        <f>IF(TODAY()&lt;AD32, 0, IF(TODAY()&gt;AE32, AF32, AF32 * (TODAY()-AD32)/(AE32-AD32+1)))</f>
        <v/>
      </c>
      <c r="AL32">
        <f>AF32 * AJ32</f>
        <v/>
      </c>
      <c r="AM32">
        <f>AI32</f>
        <v/>
      </c>
    </row>
    <row r="33">
      <c r="M33">
        <f>IF(TODAY()&lt;F33, 0, IF(TODAY()&gt;G33, H33, H33 * (TODAY()-F33)/(G33-F33+1)))</f>
        <v/>
      </c>
      <c r="N33">
        <f>H33 * L33</f>
        <v/>
      </c>
      <c r="O33">
        <f>K33</f>
        <v/>
      </c>
      <c r="Y33">
        <f>IF(TODAY()&lt;R33, 0, IF(TODAY()&gt;S33, T33, T33 * (TODAY()-R33)/(S33-R33+1)))</f>
        <v/>
      </c>
      <c r="Z33">
        <f>T33 * X33</f>
        <v/>
      </c>
      <c r="AA33">
        <f>W33</f>
        <v/>
      </c>
      <c r="AK33">
        <f>IF(TODAY()&lt;AD33, 0, IF(TODAY()&gt;AE33, AF33, AF33 * (TODAY()-AD33)/(AE33-AD33+1)))</f>
        <v/>
      </c>
      <c r="AL33">
        <f>AF33 * AJ33</f>
        <v/>
      </c>
      <c r="AM33">
        <f>AI33</f>
        <v/>
      </c>
    </row>
    <row r="34">
      <c r="M34">
        <f>IF(TODAY()&lt;F34, 0, IF(TODAY()&gt;G34, H34, H34 * (TODAY()-F34)/(G34-F34+1)))</f>
        <v/>
      </c>
      <c r="N34">
        <f>H34 * L34</f>
        <v/>
      </c>
      <c r="O34">
        <f>K34</f>
        <v/>
      </c>
      <c r="Y34">
        <f>IF(TODAY()&lt;R34, 0, IF(TODAY()&gt;S34, T34, T34 * (TODAY()-R34)/(S34-R34+1)))</f>
        <v/>
      </c>
      <c r="Z34">
        <f>T34 * X34</f>
        <v/>
      </c>
      <c r="AA34">
        <f>W34</f>
        <v/>
      </c>
      <c r="AK34">
        <f>IF(TODAY()&lt;AD34, 0, IF(TODAY()&gt;AE34, AF34, AF34 * (TODAY()-AD34)/(AE34-AD34+1)))</f>
        <v/>
      </c>
      <c r="AL34">
        <f>AF34 * AJ34</f>
        <v/>
      </c>
      <c r="AM34">
        <f>AI34</f>
        <v/>
      </c>
    </row>
    <row r="35">
      <c r="M35">
        <f>IF(TODAY()&lt;F35, 0, IF(TODAY()&gt;G35, H35, H35 * (TODAY()-F35)/(G35-F35+1)))</f>
        <v/>
      </c>
      <c r="N35">
        <f>H35 * L35</f>
        <v/>
      </c>
      <c r="O35">
        <f>K35</f>
        <v/>
      </c>
      <c r="Y35">
        <f>IF(TODAY()&lt;R35, 0, IF(TODAY()&gt;S35, T35, T35 * (TODAY()-R35)/(S35-R35+1)))</f>
        <v/>
      </c>
      <c r="Z35">
        <f>T35 * X35</f>
        <v/>
      </c>
      <c r="AA35">
        <f>W35</f>
        <v/>
      </c>
      <c r="AK35">
        <f>IF(TODAY()&lt;AD35, 0, IF(TODAY()&gt;AE35, AF35, AF35 * (TODAY()-AD35)/(AE35-AD35+1)))</f>
        <v/>
      </c>
      <c r="AL35">
        <f>AF35 * AJ35</f>
        <v/>
      </c>
      <c r="AM35">
        <f>AI35</f>
        <v/>
      </c>
    </row>
    <row r="36">
      <c r="M36">
        <f>IF(TODAY()&lt;F36, 0, IF(TODAY()&gt;G36, H36, H36 * (TODAY()-F36)/(G36-F36+1)))</f>
        <v/>
      </c>
      <c r="N36">
        <f>H36 * L36</f>
        <v/>
      </c>
      <c r="O36">
        <f>K36</f>
        <v/>
      </c>
      <c r="Y36">
        <f>IF(TODAY()&lt;R36, 0, IF(TODAY()&gt;S36, T36, T36 * (TODAY()-R36)/(S36-R36+1)))</f>
        <v/>
      </c>
      <c r="Z36">
        <f>T36 * X36</f>
        <v/>
      </c>
      <c r="AA36">
        <f>W36</f>
        <v/>
      </c>
      <c r="AK36">
        <f>IF(TODAY()&lt;AD36, 0, IF(TODAY()&gt;AE36, AF36, AF36 * (TODAY()-AD36)/(AE36-AD36+1)))</f>
        <v/>
      </c>
      <c r="AL36">
        <f>AF36 * AJ36</f>
        <v/>
      </c>
      <c r="AM36">
        <f>AI36</f>
        <v/>
      </c>
    </row>
    <row r="37">
      <c r="M37">
        <f>IF(TODAY()&lt;F37, 0, IF(TODAY()&gt;G37, H37, H37 * (TODAY()-F37)/(G37-F37+1)))</f>
        <v/>
      </c>
      <c r="N37">
        <f>H37 * L37</f>
        <v/>
      </c>
      <c r="O37">
        <f>K37</f>
        <v/>
      </c>
      <c r="Y37">
        <f>IF(TODAY()&lt;R37, 0, IF(TODAY()&gt;S37, T37, T37 * (TODAY()-R37)/(S37-R37+1)))</f>
        <v/>
      </c>
      <c r="Z37">
        <f>T37 * X37</f>
        <v/>
      </c>
      <c r="AA37">
        <f>W37</f>
        <v/>
      </c>
      <c r="AK37">
        <f>IF(TODAY()&lt;AD37, 0, IF(TODAY()&gt;AE37, AF37, AF37 * (TODAY()-AD37)/(AE37-AD37+1)))</f>
        <v/>
      </c>
      <c r="AL37">
        <f>AF37 * AJ37</f>
        <v/>
      </c>
      <c r="AM37">
        <f>AI37</f>
        <v/>
      </c>
    </row>
    <row r="38">
      <c r="M38">
        <f>IF(TODAY()&lt;F38, 0, IF(TODAY()&gt;G38, H38, H38 * (TODAY()-F38)/(G38-F38+1)))</f>
        <v/>
      </c>
      <c r="N38">
        <f>H38 * L38</f>
        <v/>
      </c>
      <c r="O38">
        <f>K38</f>
        <v/>
      </c>
      <c r="Y38">
        <f>IF(TODAY()&lt;R38, 0, IF(TODAY()&gt;S38, T38, T38 * (TODAY()-R38)/(S38-R38+1)))</f>
        <v/>
      </c>
      <c r="Z38">
        <f>T38 * X38</f>
        <v/>
      </c>
      <c r="AA38">
        <f>W38</f>
        <v/>
      </c>
      <c r="AK38">
        <f>IF(TODAY()&lt;AD38, 0, IF(TODAY()&gt;AE38, AF38, AF38 * (TODAY()-AD38)/(AE38-AD38+1)))</f>
        <v/>
      </c>
      <c r="AL38">
        <f>AF38 * AJ38</f>
        <v/>
      </c>
      <c r="AM38">
        <f>AI38</f>
        <v/>
      </c>
    </row>
    <row r="39">
      <c r="M39">
        <f>IF(TODAY()&lt;F39, 0, IF(TODAY()&gt;G39, H39, H39 * (TODAY()-F39)/(G39-F39+1)))</f>
        <v/>
      </c>
      <c r="N39">
        <f>H39 * L39</f>
        <v/>
      </c>
      <c r="O39">
        <f>K39</f>
        <v/>
      </c>
      <c r="Y39">
        <f>IF(TODAY()&lt;R39, 0, IF(TODAY()&gt;S39, T39, T39 * (TODAY()-R39)/(S39-R39+1)))</f>
        <v/>
      </c>
      <c r="Z39">
        <f>T39 * X39</f>
        <v/>
      </c>
      <c r="AA39">
        <f>W39</f>
        <v/>
      </c>
      <c r="AK39">
        <f>IF(TODAY()&lt;AD39, 0, IF(TODAY()&gt;AE39, AF39, AF39 * (TODAY()-AD39)/(AE39-AD39+1)))</f>
        <v/>
      </c>
      <c r="AL39">
        <f>AF39 * AJ39</f>
        <v/>
      </c>
      <c r="AM39">
        <f>AI39</f>
        <v/>
      </c>
    </row>
    <row r="40">
      <c r="M40">
        <f>IF(TODAY()&lt;F40, 0, IF(TODAY()&gt;G40, H40, H40 * (TODAY()-F40)/(G40-F40+1)))</f>
        <v/>
      </c>
      <c r="N40">
        <f>H40 * L40</f>
        <v/>
      </c>
      <c r="O40">
        <f>K40</f>
        <v/>
      </c>
      <c r="Y40">
        <f>IF(TODAY()&lt;R40, 0, IF(TODAY()&gt;S40, T40, T40 * (TODAY()-R40)/(S40-R40+1)))</f>
        <v/>
      </c>
      <c r="Z40">
        <f>T40 * X40</f>
        <v/>
      </c>
      <c r="AA40">
        <f>W40</f>
        <v/>
      </c>
      <c r="AK40">
        <f>IF(TODAY()&lt;AD40, 0, IF(TODAY()&gt;AE40, AF40, AF40 * (TODAY()-AD40)/(AE40-AD40+1)))</f>
        <v/>
      </c>
      <c r="AL40">
        <f>AF40 * AJ40</f>
        <v/>
      </c>
      <c r="AM40">
        <f>AI40</f>
        <v/>
      </c>
    </row>
    <row r="41">
      <c r="M41">
        <f>IF(TODAY()&lt;F41, 0, IF(TODAY()&gt;G41, H41, H41 * (TODAY()-F41)/(G41-F41+1)))</f>
        <v/>
      </c>
      <c r="N41">
        <f>H41 * L41</f>
        <v/>
      </c>
      <c r="O41">
        <f>K41</f>
        <v/>
      </c>
      <c r="Y41">
        <f>IF(TODAY()&lt;R41, 0, IF(TODAY()&gt;S41, T41, T41 * (TODAY()-R41)/(S41-R41+1)))</f>
        <v/>
      </c>
      <c r="Z41">
        <f>T41 * X41</f>
        <v/>
      </c>
      <c r="AA41">
        <f>W41</f>
        <v/>
      </c>
      <c r="AK41">
        <f>IF(TODAY()&lt;AD41, 0, IF(TODAY()&gt;AE41, AF41, AF41 * (TODAY()-AD41)/(AE41-AD41+1)))</f>
        <v/>
      </c>
      <c r="AL41">
        <f>AF41 * AJ41</f>
        <v/>
      </c>
      <c r="AM41">
        <f>AI41</f>
        <v/>
      </c>
    </row>
    <row r="42">
      <c r="M42">
        <f>IF(TODAY()&lt;F42, 0, IF(TODAY()&gt;G42, H42, H42 * (TODAY()-F42)/(G42-F42+1)))</f>
        <v/>
      </c>
      <c r="N42">
        <f>H42 * L42</f>
        <v/>
      </c>
      <c r="O42">
        <f>K42</f>
        <v/>
      </c>
      <c r="Y42">
        <f>IF(TODAY()&lt;R42, 0, IF(TODAY()&gt;S42, T42, T42 * (TODAY()-R42)/(S42-R42+1)))</f>
        <v/>
      </c>
      <c r="Z42">
        <f>T42 * X42</f>
        <v/>
      </c>
      <c r="AA42">
        <f>W42</f>
        <v/>
      </c>
      <c r="AK42">
        <f>IF(TODAY()&lt;AD42, 0, IF(TODAY()&gt;AE42, AF42, AF42 * (TODAY()-AD42)/(AE42-AD42+1)))</f>
        <v/>
      </c>
      <c r="AL42">
        <f>AF42 * AJ42</f>
        <v/>
      </c>
      <c r="AM42">
        <f>AI42</f>
        <v/>
      </c>
    </row>
    <row r="43">
      <c r="M43">
        <f>IF(TODAY()&lt;F43, 0, IF(TODAY()&gt;G43, H43, H43 * (TODAY()-F43)/(G43-F43+1)))</f>
        <v/>
      </c>
      <c r="N43">
        <f>H43 * L43</f>
        <v/>
      </c>
      <c r="O43">
        <f>K43</f>
        <v/>
      </c>
      <c r="Y43">
        <f>IF(TODAY()&lt;R43, 0, IF(TODAY()&gt;S43, T43, T43 * (TODAY()-R43)/(S43-R43+1)))</f>
        <v/>
      </c>
      <c r="Z43">
        <f>T43 * X43</f>
        <v/>
      </c>
      <c r="AA43">
        <f>W43</f>
        <v/>
      </c>
      <c r="AK43">
        <f>IF(TODAY()&lt;AD43, 0, IF(TODAY()&gt;AE43, AF43, AF43 * (TODAY()-AD43)/(AE43-AD43+1)))</f>
        <v/>
      </c>
      <c r="AL43">
        <f>AF43 * AJ43</f>
        <v/>
      </c>
      <c r="AM43">
        <f>AI43</f>
        <v/>
      </c>
    </row>
    <row r="44">
      <c r="M44">
        <f>IF(TODAY()&lt;F44, 0, IF(TODAY()&gt;G44, H44, H44 * (TODAY()-F44)/(G44-F44+1)))</f>
        <v/>
      </c>
      <c r="N44">
        <f>H44 * L44</f>
        <v/>
      </c>
      <c r="O44">
        <f>K44</f>
        <v/>
      </c>
      <c r="Y44">
        <f>IF(TODAY()&lt;R44, 0, IF(TODAY()&gt;S44, T44, T44 * (TODAY()-R44)/(S44-R44+1)))</f>
        <v/>
      </c>
      <c r="Z44">
        <f>T44 * X44</f>
        <v/>
      </c>
      <c r="AA44">
        <f>W44</f>
        <v/>
      </c>
      <c r="AK44">
        <f>IF(TODAY()&lt;AD44, 0, IF(TODAY()&gt;AE44, AF44, AF44 * (TODAY()-AD44)/(AE44-AD44+1)))</f>
        <v/>
      </c>
      <c r="AL44">
        <f>AF44 * AJ44</f>
        <v/>
      </c>
      <c r="AM44">
        <f>AI44</f>
        <v/>
      </c>
    </row>
    <row r="45">
      <c r="M45">
        <f>IF(TODAY()&lt;F45, 0, IF(TODAY()&gt;G45, H45, H45 * (TODAY()-F45)/(G45-F45+1)))</f>
        <v/>
      </c>
      <c r="N45">
        <f>H45 * L45</f>
        <v/>
      </c>
      <c r="O45">
        <f>K45</f>
        <v/>
      </c>
      <c r="Y45">
        <f>IF(TODAY()&lt;R45, 0, IF(TODAY()&gt;S45, T45, T45 * (TODAY()-R45)/(S45-R45+1)))</f>
        <v/>
      </c>
      <c r="Z45">
        <f>T45 * X45</f>
        <v/>
      </c>
      <c r="AA45">
        <f>W45</f>
        <v/>
      </c>
      <c r="AK45">
        <f>IF(TODAY()&lt;AD45, 0, IF(TODAY()&gt;AE45, AF45, AF45 * (TODAY()-AD45)/(AE45-AD45+1)))</f>
        <v/>
      </c>
      <c r="AL45">
        <f>AF45 * AJ45</f>
        <v/>
      </c>
      <c r="AM45">
        <f>AI45</f>
        <v/>
      </c>
    </row>
    <row r="46">
      <c r="M46">
        <f>IF(TODAY()&lt;F46, 0, IF(TODAY()&gt;G46, H46, H46 * (TODAY()-F46)/(G46-F46+1)))</f>
        <v/>
      </c>
      <c r="N46">
        <f>H46 * L46</f>
        <v/>
      </c>
      <c r="O46">
        <f>K46</f>
        <v/>
      </c>
      <c r="Y46">
        <f>IF(TODAY()&lt;R46, 0, IF(TODAY()&gt;S46, T46, T46 * (TODAY()-R46)/(S46-R46+1)))</f>
        <v/>
      </c>
      <c r="Z46">
        <f>T46 * X46</f>
        <v/>
      </c>
      <c r="AA46">
        <f>W46</f>
        <v/>
      </c>
      <c r="AK46">
        <f>IF(TODAY()&lt;AD46, 0, IF(TODAY()&gt;AE46, AF46, AF46 * (TODAY()-AD46)/(AE46-AD46+1)))</f>
        <v/>
      </c>
      <c r="AL46">
        <f>AF46 * AJ46</f>
        <v/>
      </c>
      <c r="AM46">
        <f>AI46</f>
        <v/>
      </c>
    </row>
    <row r="47">
      <c r="M47">
        <f>IF(TODAY()&lt;F47, 0, IF(TODAY()&gt;G47, H47, H47 * (TODAY()-F47)/(G47-F47+1)))</f>
        <v/>
      </c>
      <c r="N47">
        <f>H47 * L47</f>
        <v/>
      </c>
      <c r="O47">
        <f>K47</f>
        <v/>
      </c>
      <c r="Y47">
        <f>IF(TODAY()&lt;R47, 0, IF(TODAY()&gt;S47, T47, T47 * (TODAY()-R47)/(S47-R47+1)))</f>
        <v/>
      </c>
      <c r="Z47">
        <f>T47 * X47</f>
        <v/>
      </c>
      <c r="AA47">
        <f>W47</f>
        <v/>
      </c>
      <c r="AK47">
        <f>IF(TODAY()&lt;AD47, 0, IF(TODAY()&gt;AE47, AF47, AF47 * (TODAY()-AD47)/(AE47-AD47+1)))</f>
        <v/>
      </c>
      <c r="AL47">
        <f>AF47 * AJ47</f>
        <v/>
      </c>
      <c r="AM47">
        <f>AI47</f>
        <v/>
      </c>
    </row>
    <row r="48">
      <c r="M48">
        <f>IF(TODAY()&lt;F48, 0, IF(TODAY()&gt;G48, H48, H48 * (TODAY()-F48)/(G48-F48+1)))</f>
        <v/>
      </c>
      <c r="N48">
        <f>H48 * L48</f>
        <v/>
      </c>
      <c r="O48">
        <f>K48</f>
        <v/>
      </c>
      <c r="Y48">
        <f>IF(TODAY()&lt;R48, 0, IF(TODAY()&gt;S48, T48, T48 * (TODAY()-R48)/(S48-R48+1)))</f>
        <v/>
      </c>
      <c r="Z48">
        <f>T48 * X48</f>
        <v/>
      </c>
      <c r="AA48">
        <f>W48</f>
        <v/>
      </c>
      <c r="AK48">
        <f>IF(TODAY()&lt;AD48, 0, IF(TODAY()&gt;AE48, AF48, AF48 * (TODAY()-AD48)/(AE48-AD48+1)))</f>
        <v/>
      </c>
      <c r="AL48">
        <f>AF48 * AJ48</f>
        <v/>
      </c>
      <c r="AM48">
        <f>AI48</f>
        <v/>
      </c>
    </row>
    <row r="49">
      <c r="M49">
        <f>IF(TODAY()&lt;F49, 0, IF(TODAY()&gt;G49, H49, H49 * (TODAY()-F49)/(G49-F49+1)))</f>
        <v/>
      </c>
      <c r="N49">
        <f>H49 * L49</f>
        <v/>
      </c>
      <c r="O49">
        <f>K49</f>
        <v/>
      </c>
      <c r="Y49">
        <f>IF(TODAY()&lt;R49, 0, IF(TODAY()&gt;S49, T49, T49 * (TODAY()-R49)/(S49-R49+1)))</f>
        <v/>
      </c>
      <c r="Z49">
        <f>T49 * X49</f>
        <v/>
      </c>
      <c r="AA49">
        <f>W49</f>
        <v/>
      </c>
      <c r="AK49">
        <f>IF(TODAY()&lt;AD49, 0, IF(TODAY()&gt;AE49, AF49, AF49 * (TODAY()-AD49)/(AE49-AD49+1)))</f>
        <v/>
      </c>
      <c r="AL49">
        <f>AF49 * AJ49</f>
        <v/>
      </c>
      <c r="AM49">
        <f>AI49</f>
        <v/>
      </c>
    </row>
    <row r="50">
      <c r="M50">
        <f>IF(TODAY()&lt;F50, 0, IF(TODAY()&gt;G50, H50, H50 * (TODAY()-F50)/(G50-F50+1)))</f>
        <v/>
      </c>
      <c r="N50">
        <f>H50 * L50</f>
        <v/>
      </c>
      <c r="O50">
        <f>K50</f>
        <v/>
      </c>
      <c r="Y50">
        <f>IF(TODAY()&lt;R50, 0, IF(TODAY()&gt;S50, T50, T50 * (TODAY()-R50)/(S50-R50+1)))</f>
        <v/>
      </c>
      <c r="Z50">
        <f>T50 * X50</f>
        <v/>
      </c>
      <c r="AA50">
        <f>W50</f>
        <v/>
      </c>
      <c r="AK50">
        <f>IF(TODAY()&lt;AD50, 0, IF(TODAY()&gt;AE50, AF50, AF50 * (TODAY()-AD50)/(AE50-AD50+1)))</f>
        <v/>
      </c>
      <c r="AL50">
        <f>AF50 * AJ50</f>
        <v/>
      </c>
      <c r="AM50">
        <f>AI50</f>
        <v/>
      </c>
    </row>
    <row r="51">
      <c r="M51">
        <f>IF(TODAY()&lt;F51, 0, IF(TODAY()&gt;G51, H51, H51 * (TODAY()-F51)/(G51-F51+1)))</f>
        <v/>
      </c>
      <c r="N51">
        <f>H51 * L51</f>
        <v/>
      </c>
      <c r="O51">
        <f>K51</f>
        <v/>
      </c>
      <c r="Y51">
        <f>IF(TODAY()&lt;R51, 0, IF(TODAY()&gt;S51, T51, T51 * (TODAY()-R51)/(S51-R51+1)))</f>
        <v/>
      </c>
      <c r="Z51">
        <f>T51 * X51</f>
        <v/>
      </c>
      <c r="AA51">
        <f>W51</f>
        <v/>
      </c>
      <c r="AK51">
        <f>IF(TODAY()&lt;AD51, 0, IF(TODAY()&gt;AE51, AF51, AF51 * (TODAY()-AD51)/(AE51-AD51+1)))</f>
        <v/>
      </c>
      <c r="AL51">
        <f>AF51 * AJ51</f>
        <v/>
      </c>
      <c r="AM51">
        <f>AI51</f>
        <v/>
      </c>
    </row>
    <row r="52">
      <c r="M52">
        <f>IF(TODAY()&lt;F52, 0, IF(TODAY()&gt;G52, H52, H52 * (TODAY()-F52)/(G52-F52+1)))</f>
        <v/>
      </c>
      <c r="N52">
        <f>H52 * L52</f>
        <v/>
      </c>
      <c r="O52">
        <f>K52</f>
        <v/>
      </c>
      <c r="Y52">
        <f>IF(TODAY()&lt;R52, 0, IF(TODAY()&gt;S52, T52, T52 * (TODAY()-R52)/(S52-R52+1)))</f>
        <v/>
      </c>
      <c r="Z52">
        <f>T52 * X52</f>
        <v/>
      </c>
      <c r="AA52">
        <f>W52</f>
        <v/>
      </c>
      <c r="AK52">
        <f>IF(TODAY()&lt;AD52, 0, IF(TODAY()&gt;AE52, AF52, AF52 * (TODAY()-AD52)/(AE52-AD52+1)))</f>
        <v/>
      </c>
      <c r="AL52">
        <f>AF52 * AJ52</f>
        <v/>
      </c>
      <c r="AM52">
        <f>AI52</f>
        <v/>
      </c>
    </row>
    <row r="53">
      <c r="M53">
        <f>IF(TODAY()&lt;F53, 0, IF(TODAY()&gt;G53, H53, H53 * (TODAY()-F53)/(G53-F53+1)))</f>
        <v/>
      </c>
      <c r="N53">
        <f>H53 * L53</f>
        <v/>
      </c>
      <c r="O53">
        <f>K53</f>
        <v/>
      </c>
      <c r="Y53">
        <f>IF(TODAY()&lt;R53, 0, IF(TODAY()&gt;S53, T53, T53 * (TODAY()-R53)/(S53-R53+1)))</f>
        <v/>
      </c>
      <c r="Z53">
        <f>T53 * X53</f>
        <v/>
      </c>
      <c r="AA53">
        <f>W53</f>
        <v/>
      </c>
      <c r="AK53">
        <f>IF(TODAY()&lt;AD53, 0, IF(TODAY()&gt;AE53, AF53, AF53 * (TODAY()-AD53)/(AE53-AD53+1)))</f>
        <v/>
      </c>
      <c r="AL53">
        <f>AF53 * AJ53</f>
        <v/>
      </c>
      <c r="AM53">
        <f>AI53</f>
        <v/>
      </c>
    </row>
    <row r="54">
      <c r="M54">
        <f>IF(TODAY()&lt;F54, 0, IF(TODAY()&gt;G54, H54, H54 * (TODAY()-F54)/(G54-F54+1)))</f>
        <v/>
      </c>
      <c r="N54">
        <f>H54 * L54</f>
        <v/>
      </c>
      <c r="O54">
        <f>K54</f>
        <v/>
      </c>
      <c r="Y54">
        <f>IF(TODAY()&lt;R54, 0, IF(TODAY()&gt;S54, T54, T54 * (TODAY()-R54)/(S54-R54+1)))</f>
        <v/>
      </c>
      <c r="Z54">
        <f>T54 * X54</f>
        <v/>
      </c>
      <c r="AA54">
        <f>W54</f>
        <v/>
      </c>
      <c r="AK54">
        <f>IF(TODAY()&lt;AD54, 0, IF(TODAY()&gt;AE54, AF54, AF54 * (TODAY()-AD54)/(AE54-AD54+1)))</f>
        <v/>
      </c>
      <c r="AL54">
        <f>AF54 * AJ54</f>
        <v/>
      </c>
      <c r="AM54">
        <f>AI54</f>
        <v/>
      </c>
    </row>
    <row r="55">
      <c r="M55">
        <f>IF(TODAY()&lt;F55, 0, IF(TODAY()&gt;G55, H55, H55 * (TODAY()-F55)/(G55-F55+1)))</f>
        <v/>
      </c>
      <c r="N55">
        <f>H55 * L55</f>
        <v/>
      </c>
      <c r="O55">
        <f>K55</f>
        <v/>
      </c>
      <c r="Y55">
        <f>IF(TODAY()&lt;R55, 0, IF(TODAY()&gt;S55, T55, T55 * (TODAY()-R55)/(S55-R55+1)))</f>
        <v/>
      </c>
      <c r="Z55">
        <f>T55 * X55</f>
        <v/>
      </c>
      <c r="AA55">
        <f>W55</f>
        <v/>
      </c>
      <c r="AK55">
        <f>IF(TODAY()&lt;AD55, 0, IF(TODAY()&gt;AE55, AF55, AF55 * (TODAY()-AD55)/(AE55-AD55+1)))</f>
        <v/>
      </c>
      <c r="AL55">
        <f>AF55 * AJ55</f>
        <v/>
      </c>
      <c r="AM55">
        <f>AI55</f>
        <v/>
      </c>
    </row>
    <row r="56">
      <c r="M56">
        <f>IF(TODAY()&lt;F56, 0, IF(TODAY()&gt;G56, H56, H56 * (TODAY()-F56)/(G56-F56+1)))</f>
        <v/>
      </c>
      <c r="N56">
        <f>H56 * L56</f>
        <v/>
      </c>
      <c r="O56">
        <f>K56</f>
        <v/>
      </c>
      <c r="Y56">
        <f>IF(TODAY()&lt;R56, 0, IF(TODAY()&gt;S56, T56, T56 * (TODAY()-R56)/(S56-R56+1)))</f>
        <v/>
      </c>
      <c r="Z56">
        <f>T56 * X56</f>
        <v/>
      </c>
      <c r="AA56">
        <f>W56</f>
        <v/>
      </c>
      <c r="AK56">
        <f>IF(TODAY()&lt;AD56, 0, IF(TODAY()&gt;AE56, AF56, AF56 * (TODAY()-AD56)/(AE56-AD56+1)))</f>
        <v/>
      </c>
      <c r="AL56">
        <f>AF56 * AJ56</f>
        <v/>
      </c>
      <c r="AM56">
        <f>AI56</f>
        <v/>
      </c>
    </row>
    <row r="57">
      <c r="M57">
        <f>IF(TODAY()&lt;F57, 0, IF(TODAY()&gt;G57, H57, H57 * (TODAY()-F57)/(G57-F57+1)))</f>
        <v/>
      </c>
      <c r="N57">
        <f>H57 * L57</f>
        <v/>
      </c>
      <c r="O57">
        <f>K57</f>
        <v/>
      </c>
      <c r="Y57">
        <f>IF(TODAY()&lt;R57, 0, IF(TODAY()&gt;S57, T57, T57 * (TODAY()-R57)/(S57-R57+1)))</f>
        <v/>
      </c>
      <c r="Z57">
        <f>T57 * X57</f>
        <v/>
      </c>
      <c r="AA57">
        <f>W57</f>
        <v/>
      </c>
      <c r="AK57">
        <f>IF(TODAY()&lt;AD57, 0, IF(TODAY()&gt;AE57, AF57, AF57 * (TODAY()-AD57)/(AE57-AD57+1)))</f>
        <v/>
      </c>
      <c r="AL57">
        <f>AF57 * AJ57</f>
        <v/>
      </c>
      <c r="AM57">
        <f>AI57</f>
        <v/>
      </c>
    </row>
    <row r="58">
      <c r="M58">
        <f>IF(TODAY()&lt;F58, 0, IF(TODAY()&gt;G58, H58, H58 * (TODAY()-F58)/(G58-F58+1)))</f>
        <v/>
      </c>
      <c r="N58">
        <f>H58 * L58</f>
        <v/>
      </c>
      <c r="O58">
        <f>K58</f>
        <v/>
      </c>
      <c r="Y58">
        <f>IF(TODAY()&lt;R58, 0, IF(TODAY()&gt;S58, T58, T58 * (TODAY()-R58)/(S58-R58+1)))</f>
        <v/>
      </c>
      <c r="Z58">
        <f>T58 * X58</f>
        <v/>
      </c>
      <c r="AA58">
        <f>W58</f>
        <v/>
      </c>
      <c r="AK58">
        <f>IF(TODAY()&lt;AD58, 0, IF(TODAY()&gt;AE58, AF58, AF58 * (TODAY()-AD58)/(AE58-AD58+1)))</f>
        <v/>
      </c>
      <c r="AL58">
        <f>AF58 * AJ58</f>
        <v/>
      </c>
      <c r="AM58">
        <f>AI58</f>
        <v/>
      </c>
    </row>
    <row r="59">
      <c r="M59">
        <f>IF(TODAY()&lt;F59, 0, IF(TODAY()&gt;G59, H59, H59 * (TODAY()-F59)/(G59-F59+1)))</f>
        <v/>
      </c>
      <c r="N59">
        <f>H59 * L59</f>
        <v/>
      </c>
      <c r="O59">
        <f>K59</f>
        <v/>
      </c>
      <c r="Y59">
        <f>IF(TODAY()&lt;R59, 0, IF(TODAY()&gt;S59, T59, T59 * (TODAY()-R59)/(S59-R59+1)))</f>
        <v/>
      </c>
      <c r="Z59">
        <f>T59 * X59</f>
        <v/>
      </c>
      <c r="AA59">
        <f>W59</f>
        <v/>
      </c>
      <c r="AK59">
        <f>IF(TODAY()&lt;AD59, 0, IF(TODAY()&gt;AE59, AF59, AF59 * (TODAY()-AD59)/(AE59-AD59+1)))</f>
        <v/>
      </c>
      <c r="AL59">
        <f>AF59 * AJ59</f>
        <v/>
      </c>
      <c r="AM59">
        <f>AI59</f>
        <v/>
      </c>
    </row>
    <row r="60">
      <c r="M60">
        <f>IF(TODAY()&lt;F60, 0, IF(TODAY()&gt;G60, H60, H60 * (TODAY()-F60)/(G60-F60+1)))</f>
        <v/>
      </c>
      <c r="N60">
        <f>H60 * L60</f>
        <v/>
      </c>
      <c r="O60">
        <f>K60</f>
        <v/>
      </c>
      <c r="Y60">
        <f>IF(TODAY()&lt;R60, 0, IF(TODAY()&gt;S60, T60, T60 * (TODAY()-R60)/(S60-R60+1)))</f>
        <v/>
      </c>
      <c r="Z60">
        <f>T60 * X60</f>
        <v/>
      </c>
      <c r="AA60">
        <f>W60</f>
        <v/>
      </c>
      <c r="AK60">
        <f>IF(TODAY()&lt;AD60, 0, IF(TODAY()&gt;AE60, AF60, AF60 * (TODAY()-AD60)/(AE60-AD60+1)))</f>
        <v/>
      </c>
      <c r="AL60">
        <f>AF60 * AJ60</f>
        <v/>
      </c>
      <c r="AM60">
        <f>AI60</f>
        <v/>
      </c>
    </row>
    <row r="61">
      <c r="M61">
        <f>IF(TODAY()&lt;F61, 0, IF(TODAY()&gt;G61, H61, H61 * (TODAY()-F61)/(G61-F61+1)))</f>
        <v/>
      </c>
      <c r="N61">
        <f>H61 * L61</f>
        <v/>
      </c>
      <c r="O61">
        <f>K61</f>
        <v/>
      </c>
      <c r="Y61">
        <f>IF(TODAY()&lt;R61, 0, IF(TODAY()&gt;S61, T61, T61 * (TODAY()-R61)/(S61-R61+1)))</f>
        <v/>
      </c>
      <c r="Z61">
        <f>T61 * X61</f>
        <v/>
      </c>
      <c r="AA61">
        <f>W61</f>
        <v/>
      </c>
      <c r="AK61">
        <f>IF(TODAY()&lt;AD61, 0, IF(TODAY()&gt;AE61, AF61, AF61 * (TODAY()-AD61)/(AE61-AD61+1)))</f>
        <v/>
      </c>
      <c r="AL61">
        <f>AF61 * AJ61</f>
        <v/>
      </c>
      <c r="AM61">
        <f>AI61</f>
        <v/>
      </c>
    </row>
    <row r="62">
      <c r="M62">
        <f>IF(TODAY()&lt;F62, 0, IF(TODAY()&gt;G62, H62, H62 * (TODAY()-F62)/(G62-F62+1)))</f>
        <v/>
      </c>
      <c r="N62">
        <f>H62 * L62</f>
        <v/>
      </c>
      <c r="O62">
        <f>K62</f>
        <v/>
      </c>
      <c r="Y62">
        <f>IF(TODAY()&lt;R62, 0, IF(TODAY()&gt;S62, T62, T62 * (TODAY()-R62)/(S62-R62+1)))</f>
        <v/>
      </c>
      <c r="Z62">
        <f>T62 * X62</f>
        <v/>
      </c>
      <c r="AA62">
        <f>W62</f>
        <v/>
      </c>
      <c r="AK62">
        <f>IF(TODAY()&lt;AD62, 0, IF(TODAY()&gt;AE62, AF62, AF62 * (TODAY()-AD62)/(AE62-AD62+1)))</f>
        <v/>
      </c>
      <c r="AL62">
        <f>AF62 * AJ62</f>
        <v/>
      </c>
      <c r="AM62">
        <f>AI62</f>
        <v/>
      </c>
    </row>
    <row r="63">
      <c r="M63">
        <f>IF(TODAY()&lt;F63, 0, IF(TODAY()&gt;G63, H63, H63 * (TODAY()-F63)/(G63-F63+1)))</f>
        <v/>
      </c>
      <c r="N63">
        <f>H63 * L63</f>
        <v/>
      </c>
      <c r="O63">
        <f>K63</f>
        <v/>
      </c>
      <c r="Y63">
        <f>IF(TODAY()&lt;R63, 0, IF(TODAY()&gt;S63, T63, T63 * (TODAY()-R63)/(S63-R63+1)))</f>
        <v/>
      </c>
      <c r="Z63">
        <f>T63 * X63</f>
        <v/>
      </c>
      <c r="AA63">
        <f>W63</f>
        <v/>
      </c>
      <c r="AK63">
        <f>IF(TODAY()&lt;AD63, 0, IF(TODAY()&gt;AE63, AF63, AF63 * (TODAY()-AD63)/(AE63-AD63+1)))</f>
        <v/>
      </c>
      <c r="AL63">
        <f>AF63 * AJ63</f>
        <v/>
      </c>
      <c r="AM63">
        <f>AI63</f>
        <v/>
      </c>
    </row>
    <row r="64">
      <c r="M64">
        <f>IF(TODAY()&lt;F64, 0, IF(TODAY()&gt;G64, H64, H64 * (TODAY()-F64)/(G64-F64+1)))</f>
        <v/>
      </c>
      <c r="N64">
        <f>H64 * L64</f>
        <v/>
      </c>
      <c r="O64">
        <f>K64</f>
        <v/>
      </c>
      <c r="Y64">
        <f>IF(TODAY()&lt;R64, 0, IF(TODAY()&gt;S64, T64, T64 * (TODAY()-R64)/(S64-R64+1)))</f>
        <v/>
      </c>
      <c r="Z64">
        <f>T64 * X64</f>
        <v/>
      </c>
      <c r="AA64">
        <f>W64</f>
        <v/>
      </c>
      <c r="AK64">
        <f>IF(TODAY()&lt;AD64, 0, IF(TODAY()&gt;AE64, AF64, AF64 * (TODAY()-AD64)/(AE64-AD64+1)))</f>
        <v/>
      </c>
      <c r="AL64">
        <f>AF64 * AJ64</f>
        <v/>
      </c>
      <c r="AM64">
        <f>AI64</f>
        <v/>
      </c>
    </row>
    <row r="65">
      <c r="M65">
        <f>IF(TODAY()&lt;F65, 0, IF(TODAY()&gt;G65, H65, H65 * (TODAY()-F65)/(G65-F65+1)))</f>
        <v/>
      </c>
      <c r="N65">
        <f>H65 * L65</f>
        <v/>
      </c>
      <c r="O65">
        <f>K65</f>
        <v/>
      </c>
      <c r="Y65">
        <f>IF(TODAY()&lt;R65, 0, IF(TODAY()&gt;S65, T65, T65 * (TODAY()-R65)/(S65-R65+1)))</f>
        <v/>
      </c>
      <c r="Z65">
        <f>T65 * X65</f>
        <v/>
      </c>
      <c r="AA65">
        <f>W65</f>
        <v/>
      </c>
      <c r="AK65">
        <f>IF(TODAY()&lt;AD65, 0, IF(TODAY()&gt;AE65, AF65, AF65 * (TODAY()-AD65)/(AE65-AD65+1)))</f>
        <v/>
      </c>
      <c r="AL65">
        <f>AF65 * AJ65</f>
        <v/>
      </c>
      <c r="AM65">
        <f>AI65</f>
        <v/>
      </c>
    </row>
    <row r="66">
      <c r="M66">
        <f>IF(TODAY()&lt;F66, 0, IF(TODAY()&gt;G66, H66, H66 * (TODAY()-F66)/(G66-F66+1)))</f>
        <v/>
      </c>
      <c r="N66">
        <f>H66 * L66</f>
        <v/>
      </c>
      <c r="O66">
        <f>K66</f>
        <v/>
      </c>
      <c r="Y66">
        <f>IF(TODAY()&lt;R66, 0, IF(TODAY()&gt;S66, T66, T66 * (TODAY()-R66)/(S66-R66+1)))</f>
        <v/>
      </c>
      <c r="Z66">
        <f>T66 * X66</f>
        <v/>
      </c>
      <c r="AA66">
        <f>W66</f>
        <v/>
      </c>
      <c r="AK66">
        <f>IF(TODAY()&lt;AD66, 0, IF(TODAY()&gt;AE66, AF66, AF66 * (TODAY()-AD66)/(AE66-AD66+1)))</f>
        <v/>
      </c>
      <c r="AL66">
        <f>AF66 * AJ66</f>
        <v/>
      </c>
      <c r="AM66">
        <f>AI66</f>
        <v/>
      </c>
    </row>
    <row r="67">
      <c r="M67">
        <f>IF(TODAY()&lt;F67, 0, IF(TODAY()&gt;G67, H67, H67 * (TODAY()-F67)/(G67-F67+1)))</f>
        <v/>
      </c>
      <c r="N67">
        <f>H67 * L67</f>
        <v/>
      </c>
      <c r="O67">
        <f>K67</f>
        <v/>
      </c>
      <c r="Y67">
        <f>IF(TODAY()&lt;R67, 0, IF(TODAY()&gt;S67, T67, T67 * (TODAY()-R67)/(S67-R67+1)))</f>
        <v/>
      </c>
      <c r="Z67">
        <f>T67 * X67</f>
        <v/>
      </c>
      <c r="AA67">
        <f>W67</f>
        <v/>
      </c>
      <c r="AK67">
        <f>IF(TODAY()&lt;AD67, 0, IF(TODAY()&gt;AE67, AF67, AF67 * (TODAY()-AD67)/(AE67-AD67+1)))</f>
        <v/>
      </c>
      <c r="AL67">
        <f>AF67 * AJ67</f>
        <v/>
      </c>
      <c r="AM67">
        <f>AI67</f>
        <v/>
      </c>
    </row>
    <row r="68">
      <c r="M68">
        <f>IF(TODAY()&lt;F68, 0, IF(TODAY()&gt;G68, H68, H68 * (TODAY()-F68)/(G68-F68+1)))</f>
        <v/>
      </c>
      <c r="N68">
        <f>H68 * L68</f>
        <v/>
      </c>
      <c r="O68">
        <f>K68</f>
        <v/>
      </c>
      <c r="Y68">
        <f>IF(TODAY()&lt;R68, 0, IF(TODAY()&gt;S68, T68, T68 * (TODAY()-R68)/(S68-R68+1)))</f>
        <v/>
      </c>
      <c r="Z68">
        <f>T68 * X68</f>
        <v/>
      </c>
      <c r="AA68">
        <f>W68</f>
        <v/>
      </c>
      <c r="AK68">
        <f>IF(TODAY()&lt;AD68, 0, IF(TODAY()&gt;AE68, AF68, AF68 * (TODAY()-AD68)/(AE68-AD68+1)))</f>
        <v/>
      </c>
      <c r="AL68">
        <f>AF68 * AJ68</f>
        <v/>
      </c>
      <c r="AM68">
        <f>AI68</f>
        <v/>
      </c>
    </row>
    <row r="69">
      <c r="M69">
        <f>IF(TODAY()&lt;F69, 0, IF(TODAY()&gt;G69, H69, H69 * (TODAY()-F69)/(G69-F69+1)))</f>
        <v/>
      </c>
      <c r="N69">
        <f>H69 * L69</f>
        <v/>
      </c>
      <c r="O69">
        <f>K69</f>
        <v/>
      </c>
      <c r="Y69">
        <f>IF(TODAY()&lt;R69, 0, IF(TODAY()&gt;S69, T69, T69 * (TODAY()-R69)/(S69-R69+1)))</f>
        <v/>
      </c>
      <c r="Z69">
        <f>T69 * X69</f>
        <v/>
      </c>
      <c r="AA69">
        <f>W69</f>
        <v/>
      </c>
      <c r="AK69">
        <f>IF(TODAY()&lt;AD69, 0, IF(TODAY()&gt;AE69, AF69, AF69 * (TODAY()-AD69)/(AE69-AD69+1)))</f>
        <v/>
      </c>
      <c r="AL69">
        <f>AF69 * AJ69</f>
        <v/>
      </c>
      <c r="AM69">
        <f>AI69</f>
        <v/>
      </c>
    </row>
    <row r="70">
      <c r="M70">
        <f>IF(TODAY()&lt;F70, 0, IF(TODAY()&gt;G70, H70, H70 * (TODAY()-F70)/(G70-F70+1)))</f>
        <v/>
      </c>
      <c r="N70">
        <f>H70 * L70</f>
        <v/>
      </c>
      <c r="O70">
        <f>K70</f>
        <v/>
      </c>
      <c r="Y70">
        <f>IF(TODAY()&lt;R70, 0, IF(TODAY()&gt;S70, T70, T70 * (TODAY()-R70)/(S70-R70+1)))</f>
        <v/>
      </c>
      <c r="Z70">
        <f>T70 * X70</f>
        <v/>
      </c>
      <c r="AA70">
        <f>W70</f>
        <v/>
      </c>
      <c r="AK70">
        <f>IF(TODAY()&lt;AD70, 0, IF(TODAY()&gt;AE70, AF70, AF70 * (TODAY()-AD70)/(AE70-AD70+1)))</f>
        <v/>
      </c>
      <c r="AL70">
        <f>AF70 * AJ70</f>
        <v/>
      </c>
      <c r="AM70">
        <f>AI70</f>
        <v/>
      </c>
    </row>
    <row r="71">
      <c r="M71">
        <f>IF(TODAY()&lt;F71, 0, IF(TODAY()&gt;G71, H71, H71 * (TODAY()-F71)/(G71-F71+1)))</f>
        <v/>
      </c>
      <c r="N71">
        <f>H71 * L71</f>
        <v/>
      </c>
      <c r="O71">
        <f>K71</f>
        <v/>
      </c>
      <c r="Y71">
        <f>IF(TODAY()&lt;R71, 0, IF(TODAY()&gt;S71, T71, T71 * (TODAY()-R71)/(S71-R71+1)))</f>
        <v/>
      </c>
      <c r="Z71">
        <f>T71 * X71</f>
        <v/>
      </c>
      <c r="AA71">
        <f>W71</f>
        <v/>
      </c>
      <c r="AK71">
        <f>IF(TODAY()&lt;AD71, 0, IF(TODAY()&gt;AE71, AF71, AF71 * (TODAY()-AD71)/(AE71-AD71+1)))</f>
        <v/>
      </c>
      <c r="AL71">
        <f>AF71 * AJ71</f>
        <v/>
      </c>
      <c r="AM71">
        <f>AI71</f>
        <v/>
      </c>
    </row>
    <row r="72">
      <c r="M72">
        <f>IF(TODAY()&lt;F72, 0, IF(TODAY()&gt;G72, H72, H72 * (TODAY()-F72)/(G72-F72+1)))</f>
        <v/>
      </c>
      <c r="N72">
        <f>H72 * L72</f>
        <v/>
      </c>
      <c r="O72">
        <f>K72</f>
        <v/>
      </c>
      <c r="Y72">
        <f>IF(TODAY()&lt;R72, 0, IF(TODAY()&gt;S72, T72, T72 * (TODAY()-R72)/(S72-R72+1)))</f>
        <v/>
      </c>
      <c r="Z72">
        <f>T72 * X72</f>
        <v/>
      </c>
      <c r="AA72">
        <f>W72</f>
        <v/>
      </c>
      <c r="AK72">
        <f>IF(TODAY()&lt;AD72, 0, IF(TODAY()&gt;AE72, AF72, AF72 * (TODAY()-AD72)/(AE72-AD72+1)))</f>
        <v/>
      </c>
      <c r="AL72">
        <f>AF72 * AJ72</f>
        <v/>
      </c>
      <c r="AM72">
        <f>AI72</f>
        <v/>
      </c>
    </row>
    <row r="73">
      <c r="M73">
        <f>IF(TODAY()&lt;F73, 0, IF(TODAY()&gt;G73, H73, H73 * (TODAY()-F73)/(G73-F73+1)))</f>
        <v/>
      </c>
      <c r="N73">
        <f>H73 * L73</f>
        <v/>
      </c>
      <c r="O73">
        <f>K73</f>
        <v/>
      </c>
      <c r="Y73">
        <f>IF(TODAY()&lt;R73, 0, IF(TODAY()&gt;S73, T73, T73 * (TODAY()-R73)/(S73-R73+1)))</f>
        <v/>
      </c>
      <c r="Z73">
        <f>T73 * X73</f>
        <v/>
      </c>
      <c r="AA73">
        <f>W73</f>
        <v/>
      </c>
      <c r="AK73">
        <f>IF(TODAY()&lt;AD73, 0, IF(TODAY()&gt;AE73, AF73, AF73 * (TODAY()-AD73)/(AE73-AD73+1)))</f>
        <v/>
      </c>
      <c r="AL73">
        <f>AF73 * AJ73</f>
        <v/>
      </c>
      <c r="AM73">
        <f>AI73</f>
        <v/>
      </c>
    </row>
    <row r="74">
      <c r="M74">
        <f>IF(TODAY()&lt;F74, 0, IF(TODAY()&gt;G74, H74, H74 * (TODAY()-F74)/(G74-F74+1)))</f>
        <v/>
      </c>
      <c r="N74">
        <f>H74 * L74</f>
        <v/>
      </c>
      <c r="O74">
        <f>K74</f>
        <v/>
      </c>
      <c r="Y74">
        <f>IF(TODAY()&lt;R74, 0, IF(TODAY()&gt;S74, T74, T74 * (TODAY()-R74)/(S74-R74+1)))</f>
        <v/>
      </c>
      <c r="Z74">
        <f>T74 * X74</f>
        <v/>
      </c>
      <c r="AA74">
        <f>W74</f>
        <v/>
      </c>
      <c r="AK74">
        <f>IF(TODAY()&lt;AD74, 0, IF(TODAY()&gt;AE74, AF74, AF74 * (TODAY()-AD74)/(AE74-AD74+1)))</f>
        <v/>
      </c>
      <c r="AL74">
        <f>AF74 * AJ74</f>
        <v/>
      </c>
      <c r="AM74">
        <f>AI74</f>
        <v/>
      </c>
    </row>
    <row r="75">
      <c r="M75">
        <f>IF(TODAY()&lt;F75, 0, IF(TODAY()&gt;G75, H75, H75 * (TODAY()-F75)/(G75-F75+1)))</f>
        <v/>
      </c>
      <c r="N75">
        <f>H75 * L75</f>
        <v/>
      </c>
      <c r="O75">
        <f>K75</f>
        <v/>
      </c>
      <c r="Y75">
        <f>IF(TODAY()&lt;R75, 0, IF(TODAY()&gt;S75, T75, T75 * (TODAY()-R75)/(S75-R75+1)))</f>
        <v/>
      </c>
      <c r="Z75">
        <f>T75 * X75</f>
        <v/>
      </c>
      <c r="AA75">
        <f>W75</f>
        <v/>
      </c>
      <c r="AK75">
        <f>IF(TODAY()&lt;AD75, 0, IF(TODAY()&gt;AE75, AF75, AF75 * (TODAY()-AD75)/(AE75-AD75+1)))</f>
        <v/>
      </c>
      <c r="AL75">
        <f>AF75 * AJ75</f>
        <v/>
      </c>
      <c r="AM75">
        <f>AI75</f>
        <v/>
      </c>
    </row>
    <row r="76">
      <c r="M76">
        <f>IF(TODAY()&lt;F76, 0, IF(TODAY()&gt;G76, H76, H76 * (TODAY()-F76)/(G76-F76+1)))</f>
        <v/>
      </c>
      <c r="N76">
        <f>H76 * L76</f>
        <v/>
      </c>
      <c r="O76">
        <f>K76</f>
        <v/>
      </c>
      <c r="Y76">
        <f>IF(TODAY()&lt;R76, 0, IF(TODAY()&gt;S76, T76, T76 * (TODAY()-R76)/(S76-R76+1)))</f>
        <v/>
      </c>
      <c r="Z76">
        <f>T76 * X76</f>
        <v/>
      </c>
      <c r="AA76">
        <f>W76</f>
        <v/>
      </c>
      <c r="AK76">
        <f>IF(TODAY()&lt;AD76, 0, IF(TODAY()&gt;AE76, AF76, AF76 * (TODAY()-AD76)/(AE76-AD76+1)))</f>
        <v/>
      </c>
      <c r="AL76">
        <f>AF76 * AJ76</f>
        <v/>
      </c>
      <c r="AM76">
        <f>AI76</f>
        <v/>
      </c>
    </row>
    <row r="77">
      <c r="M77">
        <f>IF(TODAY()&lt;F77, 0, IF(TODAY()&gt;G77, H77, H77 * (TODAY()-F77)/(G77-F77+1)))</f>
        <v/>
      </c>
      <c r="N77">
        <f>H77 * L77</f>
        <v/>
      </c>
      <c r="O77">
        <f>K77</f>
        <v/>
      </c>
      <c r="Y77">
        <f>IF(TODAY()&lt;R77, 0, IF(TODAY()&gt;S77, T77, T77 * (TODAY()-R77)/(S77-R77+1)))</f>
        <v/>
      </c>
      <c r="Z77">
        <f>T77 * X77</f>
        <v/>
      </c>
      <c r="AA77">
        <f>W77</f>
        <v/>
      </c>
      <c r="AK77">
        <f>IF(TODAY()&lt;AD77, 0, IF(TODAY()&gt;AE77, AF77, AF77 * (TODAY()-AD77)/(AE77-AD77+1)))</f>
        <v/>
      </c>
      <c r="AL77">
        <f>AF77 * AJ77</f>
        <v/>
      </c>
      <c r="AM77">
        <f>AI77</f>
        <v/>
      </c>
    </row>
    <row r="78">
      <c r="M78">
        <f>IF(TODAY()&lt;F78, 0, IF(TODAY()&gt;G78, H78, H78 * (TODAY()-F78)/(G78-F78+1)))</f>
        <v/>
      </c>
      <c r="N78">
        <f>H78 * L78</f>
        <v/>
      </c>
      <c r="O78">
        <f>K78</f>
        <v/>
      </c>
      <c r="Y78">
        <f>IF(TODAY()&lt;R78, 0, IF(TODAY()&gt;S78, T78, T78 * (TODAY()-R78)/(S78-R78+1)))</f>
        <v/>
      </c>
      <c r="Z78">
        <f>T78 * X78</f>
        <v/>
      </c>
      <c r="AA78">
        <f>W78</f>
        <v/>
      </c>
      <c r="AK78">
        <f>IF(TODAY()&lt;AD78, 0, IF(TODAY()&gt;AE78, AF78, AF78 * (TODAY()-AD78)/(AE78-AD78+1)))</f>
        <v/>
      </c>
      <c r="AL78">
        <f>AF78 * AJ78</f>
        <v/>
      </c>
      <c r="AM78">
        <f>AI78</f>
        <v/>
      </c>
    </row>
    <row r="79">
      <c r="M79">
        <f>IF(TODAY()&lt;F79, 0, IF(TODAY()&gt;G79, H79, H79 * (TODAY()-F79)/(G79-F79+1)))</f>
        <v/>
      </c>
      <c r="N79">
        <f>H79 * L79</f>
        <v/>
      </c>
      <c r="O79">
        <f>K79</f>
        <v/>
      </c>
      <c r="Y79">
        <f>IF(TODAY()&lt;R79, 0, IF(TODAY()&gt;S79, T79, T79 * (TODAY()-R79)/(S79-R79+1)))</f>
        <v/>
      </c>
      <c r="Z79">
        <f>T79 * X79</f>
        <v/>
      </c>
      <c r="AA79">
        <f>W79</f>
        <v/>
      </c>
      <c r="AK79">
        <f>IF(TODAY()&lt;AD79, 0, IF(TODAY()&gt;AE79, AF79, AF79 * (TODAY()-AD79)/(AE79-AD79+1)))</f>
        <v/>
      </c>
      <c r="AL79">
        <f>AF79 * AJ79</f>
        <v/>
      </c>
      <c r="AM79">
        <f>AI79</f>
        <v/>
      </c>
    </row>
    <row r="80">
      <c r="M80">
        <f>IF(TODAY()&lt;F80, 0, IF(TODAY()&gt;G80, H80, H80 * (TODAY()-F80)/(G80-F80+1)))</f>
        <v/>
      </c>
      <c r="N80">
        <f>H80 * L80</f>
        <v/>
      </c>
      <c r="O80">
        <f>K80</f>
        <v/>
      </c>
      <c r="Y80">
        <f>IF(TODAY()&lt;R80, 0, IF(TODAY()&gt;S80, T80, T80 * (TODAY()-R80)/(S80-R80+1)))</f>
        <v/>
      </c>
      <c r="Z80">
        <f>T80 * X80</f>
        <v/>
      </c>
      <c r="AA80">
        <f>W80</f>
        <v/>
      </c>
      <c r="AK80">
        <f>IF(TODAY()&lt;AD80, 0, IF(TODAY()&gt;AE80, AF80, AF80 * (TODAY()-AD80)/(AE80-AD80+1)))</f>
        <v/>
      </c>
      <c r="AL80">
        <f>AF80 * AJ80</f>
        <v/>
      </c>
      <c r="AM80">
        <f>AI80</f>
        <v/>
      </c>
    </row>
    <row r="81">
      <c r="M81">
        <f>IF(TODAY()&lt;F81, 0, IF(TODAY()&gt;G81, H81, H81 * (TODAY()-F81)/(G81-F81+1)))</f>
        <v/>
      </c>
      <c r="N81">
        <f>H81 * L81</f>
        <v/>
      </c>
      <c r="O81">
        <f>K81</f>
        <v/>
      </c>
      <c r="Y81">
        <f>IF(TODAY()&lt;R81, 0, IF(TODAY()&gt;S81, T81, T81 * (TODAY()-R81)/(S81-R81+1)))</f>
        <v/>
      </c>
      <c r="Z81">
        <f>T81 * X81</f>
        <v/>
      </c>
      <c r="AA81">
        <f>W81</f>
        <v/>
      </c>
      <c r="AK81">
        <f>IF(TODAY()&lt;AD81, 0, IF(TODAY()&gt;AE81, AF81, AF81 * (TODAY()-AD81)/(AE81-AD81+1)))</f>
        <v/>
      </c>
      <c r="AL81">
        <f>AF81 * AJ81</f>
        <v/>
      </c>
      <c r="AM81">
        <f>AI81</f>
        <v/>
      </c>
    </row>
    <row r="82">
      <c r="M82">
        <f>IF(TODAY()&lt;F82, 0, IF(TODAY()&gt;G82, H82, H82 * (TODAY()-F82)/(G82-F82+1)))</f>
        <v/>
      </c>
      <c r="N82">
        <f>H82 * L82</f>
        <v/>
      </c>
      <c r="O82">
        <f>K82</f>
        <v/>
      </c>
      <c r="Y82">
        <f>IF(TODAY()&lt;R82, 0, IF(TODAY()&gt;S82, T82, T82 * (TODAY()-R82)/(S82-R82+1)))</f>
        <v/>
      </c>
      <c r="Z82">
        <f>T82 * X82</f>
        <v/>
      </c>
      <c r="AA82">
        <f>W82</f>
        <v/>
      </c>
      <c r="AK82">
        <f>IF(TODAY()&lt;AD82, 0, IF(TODAY()&gt;AE82, AF82, AF82 * (TODAY()-AD82)/(AE82-AD82+1)))</f>
        <v/>
      </c>
      <c r="AL82">
        <f>AF82 * AJ82</f>
        <v/>
      </c>
      <c r="AM82">
        <f>AI82</f>
        <v/>
      </c>
    </row>
    <row r="83">
      <c r="M83">
        <f>IF(TODAY()&lt;F83, 0, IF(TODAY()&gt;G83, H83, H83 * (TODAY()-F83)/(G83-F83+1)))</f>
        <v/>
      </c>
      <c r="N83">
        <f>H83 * L83</f>
        <v/>
      </c>
      <c r="O83">
        <f>K83</f>
        <v/>
      </c>
      <c r="Y83">
        <f>IF(TODAY()&lt;R83, 0, IF(TODAY()&gt;S83, T83, T83 * (TODAY()-R83)/(S83-R83+1)))</f>
        <v/>
      </c>
      <c r="Z83">
        <f>T83 * X83</f>
        <v/>
      </c>
      <c r="AA83">
        <f>W83</f>
        <v/>
      </c>
      <c r="AK83">
        <f>IF(TODAY()&lt;AD83, 0, IF(TODAY()&gt;AE83, AF83, AF83 * (TODAY()-AD83)/(AE83-AD83+1)))</f>
        <v/>
      </c>
      <c r="AL83">
        <f>AF83 * AJ83</f>
        <v/>
      </c>
      <c r="AM83">
        <f>AI83</f>
        <v/>
      </c>
    </row>
    <row r="84">
      <c r="M84">
        <f>IF(TODAY()&lt;F84, 0, IF(TODAY()&gt;G84, H84, H84 * (TODAY()-F84)/(G84-F84+1)))</f>
        <v/>
      </c>
      <c r="N84">
        <f>H84 * L84</f>
        <v/>
      </c>
      <c r="O84">
        <f>K84</f>
        <v/>
      </c>
      <c r="Y84">
        <f>IF(TODAY()&lt;R84, 0, IF(TODAY()&gt;S84, T84, T84 * (TODAY()-R84)/(S84-R84+1)))</f>
        <v/>
      </c>
      <c r="Z84">
        <f>T84 * X84</f>
        <v/>
      </c>
      <c r="AA84">
        <f>W84</f>
        <v/>
      </c>
      <c r="AK84">
        <f>IF(TODAY()&lt;AD84, 0, IF(TODAY()&gt;AE84, AF84, AF84 * (TODAY()-AD84)/(AE84-AD84+1)))</f>
        <v/>
      </c>
      <c r="AL84">
        <f>AF84 * AJ84</f>
        <v/>
      </c>
      <c r="AM84">
        <f>AI84</f>
        <v/>
      </c>
    </row>
    <row r="85">
      <c r="M85">
        <f>IF(TODAY()&lt;F85, 0, IF(TODAY()&gt;G85, H85, H85 * (TODAY()-F85)/(G85-F85+1)))</f>
        <v/>
      </c>
      <c r="N85">
        <f>H85 * L85</f>
        <v/>
      </c>
      <c r="O85">
        <f>K85</f>
        <v/>
      </c>
      <c r="Y85">
        <f>IF(TODAY()&lt;R85, 0, IF(TODAY()&gt;S85, T85, T85 * (TODAY()-R85)/(S85-R85+1)))</f>
        <v/>
      </c>
      <c r="Z85">
        <f>T85 * X85</f>
        <v/>
      </c>
      <c r="AA85">
        <f>W85</f>
        <v/>
      </c>
      <c r="AK85">
        <f>IF(TODAY()&lt;AD85, 0, IF(TODAY()&gt;AE85, AF85, AF85 * (TODAY()-AD85)/(AE85-AD85+1)))</f>
        <v/>
      </c>
      <c r="AL85">
        <f>AF85 * AJ85</f>
        <v/>
      </c>
      <c r="AM85">
        <f>AI85</f>
        <v/>
      </c>
    </row>
    <row r="86">
      <c r="M86">
        <f>IF(TODAY()&lt;F86, 0, IF(TODAY()&gt;G86, H86, H86 * (TODAY()-F86)/(G86-F86+1)))</f>
        <v/>
      </c>
      <c r="N86">
        <f>H86 * L86</f>
        <v/>
      </c>
      <c r="O86">
        <f>K86</f>
        <v/>
      </c>
      <c r="Y86">
        <f>IF(TODAY()&lt;R86, 0, IF(TODAY()&gt;S86, T86, T86 * (TODAY()-R86)/(S86-R86+1)))</f>
        <v/>
      </c>
      <c r="Z86">
        <f>T86 * X86</f>
        <v/>
      </c>
      <c r="AA86">
        <f>W86</f>
        <v/>
      </c>
      <c r="AK86">
        <f>IF(TODAY()&lt;AD86, 0, IF(TODAY()&gt;AE86, AF86, AF86 * (TODAY()-AD86)/(AE86-AD86+1)))</f>
        <v/>
      </c>
      <c r="AL86">
        <f>AF86 * AJ86</f>
        <v/>
      </c>
      <c r="AM86">
        <f>AI86</f>
        <v/>
      </c>
    </row>
    <row r="87">
      <c r="M87">
        <f>IF(TODAY()&lt;F87, 0, IF(TODAY()&gt;G87, H87, H87 * (TODAY()-F87)/(G87-F87+1)))</f>
        <v/>
      </c>
      <c r="N87">
        <f>H87 * L87</f>
        <v/>
      </c>
      <c r="O87">
        <f>K87</f>
        <v/>
      </c>
      <c r="Y87">
        <f>IF(TODAY()&lt;R87, 0, IF(TODAY()&gt;S87, T87, T87 * (TODAY()-R87)/(S87-R87+1)))</f>
        <v/>
      </c>
      <c r="Z87">
        <f>T87 * X87</f>
        <v/>
      </c>
      <c r="AA87">
        <f>W87</f>
        <v/>
      </c>
      <c r="AK87">
        <f>IF(TODAY()&lt;AD87, 0, IF(TODAY()&gt;AE87, AF87, AF87 * (TODAY()-AD87)/(AE87-AD87+1)))</f>
        <v/>
      </c>
      <c r="AL87">
        <f>AF87 * AJ87</f>
        <v/>
      </c>
      <c r="AM87">
        <f>AI87</f>
        <v/>
      </c>
    </row>
    <row r="88">
      <c r="M88">
        <f>IF(TODAY()&lt;F88, 0, IF(TODAY()&gt;G88, H88, H88 * (TODAY()-F88)/(G88-F88+1)))</f>
        <v/>
      </c>
      <c r="N88">
        <f>H88 * L88</f>
        <v/>
      </c>
      <c r="O88">
        <f>K88</f>
        <v/>
      </c>
      <c r="Y88">
        <f>IF(TODAY()&lt;R88, 0, IF(TODAY()&gt;S88, T88, T88 * (TODAY()-R88)/(S88-R88+1)))</f>
        <v/>
      </c>
      <c r="Z88">
        <f>T88 * X88</f>
        <v/>
      </c>
      <c r="AA88">
        <f>W88</f>
        <v/>
      </c>
      <c r="AK88">
        <f>IF(TODAY()&lt;AD88, 0, IF(TODAY()&gt;AE88, AF88, AF88 * (TODAY()-AD88)/(AE88-AD88+1)))</f>
        <v/>
      </c>
      <c r="AL88">
        <f>AF88 * AJ88</f>
        <v/>
      </c>
      <c r="AM88">
        <f>AI88</f>
        <v/>
      </c>
    </row>
    <row r="89">
      <c r="M89">
        <f>IF(TODAY()&lt;F89, 0, IF(TODAY()&gt;G89, H89, H89 * (TODAY()-F89)/(G89-F89+1)))</f>
        <v/>
      </c>
      <c r="N89">
        <f>H89 * L89</f>
        <v/>
      </c>
      <c r="O89">
        <f>K89</f>
        <v/>
      </c>
      <c r="Y89">
        <f>IF(TODAY()&lt;R89, 0, IF(TODAY()&gt;S89, T89, T89 * (TODAY()-R89)/(S89-R89+1)))</f>
        <v/>
      </c>
      <c r="Z89">
        <f>T89 * X89</f>
        <v/>
      </c>
      <c r="AA89">
        <f>W89</f>
        <v/>
      </c>
      <c r="AK89">
        <f>IF(TODAY()&lt;AD89, 0, IF(TODAY()&gt;AE89, AF89, AF89 * (TODAY()-AD89)/(AE89-AD89+1)))</f>
        <v/>
      </c>
      <c r="AL89">
        <f>AF89 * AJ89</f>
        <v/>
      </c>
      <c r="AM89">
        <f>AI89</f>
        <v/>
      </c>
    </row>
    <row r="90">
      <c r="M90">
        <f>IF(TODAY()&lt;F90, 0, IF(TODAY()&gt;G90, H90, H90 * (TODAY()-F90)/(G90-F90+1)))</f>
        <v/>
      </c>
      <c r="N90">
        <f>H90 * L90</f>
        <v/>
      </c>
      <c r="O90">
        <f>K90</f>
        <v/>
      </c>
      <c r="Y90">
        <f>IF(TODAY()&lt;R90, 0, IF(TODAY()&gt;S90, T90, T90 * (TODAY()-R90)/(S90-R90+1)))</f>
        <v/>
      </c>
      <c r="Z90">
        <f>T90 * X90</f>
        <v/>
      </c>
      <c r="AA90">
        <f>W90</f>
        <v/>
      </c>
      <c r="AK90">
        <f>IF(TODAY()&lt;AD90, 0, IF(TODAY()&gt;AE90, AF90, AF90 * (TODAY()-AD90)/(AE90-AD90+1)))</f>
        <v/>
      </c>
      <c r="AL90">
        <f>AF90 * AJ90</f>
        <v/>
      </c>
      <c r="AM90">
        <f>AI90</f>
        <v/>
      </c>
    </row>
    <row r="91">
      <c r="M91">
        <f>IF(TODAY()&lt;F91, 0, IF(TODAY()&gt;G91, H91, H91 * (TODAY()-F91)/(G91-F91+1)))</f>
        <v/>
      </c>
      <c r="N91">
        <f>H91 * L91</f>
        <v/>
      </c>
      <c r="O91">
        <f>K91</f>
        <v/>
      </c>
      <c r="Y91">
        <f>IF(TODAY()&lt;R91, 0, IF(TODAY()&gt;S91, T91, T91 * (TODAY()-R91)/(S91-R91+1)))</f>
        <v/>
      </c>
      <c r="Z91">
        <f>T91 * X91</f>
        <v/>
      </c>
      <c r="AA91">
        <f>W91</f>
        <v/>
      </c>
      <c r="AK91">
        <f>IF(TODAY()&lt;AD91, 0, IF(TODAY()&gt;AE91, AF91, AF91 * (TODAY()-AD91)/(AE91-AD91+1)))</f>
        <v/>
      </c>
      <c r="AL91">
        <f>AF91 * AJ91</f>
        <v/>
      </c>
      <c r="AM91">
        <f>AI91</f>
        <v/>
      </c>
    </row>
    <row r="92">
      <c r="M92">
        <f>IF(TODAY()&lt;F92, 0, IF(TODAY()&gt;G92, H92, H92 * (TODAY()-F92)/(G92-F92+1)))</f>
        <v/>
      </c>
      <c r="N92">
        <f>H92 * L92</f>
        <v/>
      </c>
      <c r="O92">
        <f>K92</f>
        <v/>
      </c>
      <c r="Y92">
        <f>IF(TODAY()&lt;R92, 0, IF(TODAY()&gt;S92, T92, T92 * (TODAY()-R92)/(S92-R92+1)))</f>
        <v/>
      </c>
      <c r="Z92">
        <f>T92 * X92</f>
        <v/>
      </c>
      <c r="AA92">
        <f>W92</f>
        <v/>
      </c>
      <c r="AK92">
        <f>IF(TODAY()&lt;AD92, 0, IF(TODAY()&gt;AE92, AF92, AF92 * (TODAY()-AD92)/(AE92-AD92+1)))</f>
        <v/>
      </c>
      <c r="AL92">
        <f>AF92 * AJ92</f>
        <v/>
      </c>
      <c r="AM92">
        <f>AI92</f>
        <v/>
      </c>
    </row>
    <row r="93">
      <c r="M93">
        <f>IF(TODAY()&lt;F93, 0, IF(TODAY()&gt;G93, H93, H93 * (TODAY()-F93)/(G93-F93+1)))</f>
        <v/>
      </c>
      <c r="N93">
        <f>H93 * L93</f>
        <v/>
      </c>
      <c r="O93">
        <f>K93</f>
        <v/>
      </c>
      <c r="Y93">
        <f>IF(TODAY()&lt;R93, 0, IF(TODAY()&gt;S93, T93, T93 * (TODAY()-R93)/(S93-R93+1)))</f>
        <v/>
      </c>
      <c r="Z93">
        <f>T93 * X93</f>
        <v/>
      </c>
      <c r="AA93">
        <f>W93</f>
        <v/>
      </c>
      <c r="AK93">
        <f>IF(TODAY()&lt;AD93, 0, IF(TODAY()&gt;AE93, AF93, AF93 * (TODAY()-AD93)/(AE93-AD93+1)))</f>
        <v/>
      </c>
      <c r="AL93">
        <f>AF93 * AJ93</f>
        <v/>
      </c>
      <c r="AM93">
        <f>AI93</f>
        <v/>
      </c>
    </row>
    <row r="94">
      <c r="M94">
        <f>IF(TODAY()&lt;F94, 0, IF(TODAY()&gt;G94, H94, H94 * (TODAY()-F94)/(G94-F94+1)))</f>
        <v/>
      </c>
      <c r="N94">
        <f>H94 * L94</f>
        <v/>
      </c>
      <c r="O94">
        <f>K94</f>
        <v/>
      </c>
      <c r="Y94">
        <f>IF(TODAY()&lt;R94, 0, IF(TODAY()&gt;S94, T94, T94 * (TODAY()-R94)/(S94-R94+1)))</f>
        <v/>
      </c>
      <c r="Z94">
        <f>T94 * X94</f>
        <v/>
      </c>
      <c r="AA94">
        <f>W94</f>
        <v/>
      </c>
      <c r="AK94">
        <f>IF(TODAY()&lt;AD94, 0, IF(TODAY()&gt;AE94, AF94, AF94 * (TODAY()-AD94)/(AE94-AD94+1)))</f>
        <v/>
      </c>
      <c r="AL94">
        <f>AF94 * AJ94</f>
        <v/>
      </c>
      <c r="AM94">
        <f>AI94</f>
        <v/>
      </c>
    </row>
    <row r="95">
      <c r="M95">
        <f>IF(TODAY()&lt;F95, 0, IF(TODAY()&gt;G95, H95, H95 * (TODAY()-F95)/(G95-F95+1)))</f>
        <v/>
      </c>
      <c r="N95">
        <f>H95 * L95</f>
        <v/>
      </c>
      <c r="O95">
        <f>K95</f>
        <v/>
      </c>
      <c r="Y95">
        <f>IF(TODAY()&lt;R95, 0, IF(TODAY()&gt;S95, T95, T95 * (TODAY()-R95)/(S95-R95+1)))</f>
        <v/>
      </c>
      <c r="Z95">
        <f>T95 * X95</f>
        <v/>
      </c>
      <c r="AA95">
        <f>W95</f>
        <v/>
      </c>
      <c r="AK95">
        <f>IF(TODAY()&lt;AD95, 0, IF(TODAY()&gt;AE95, AF95, AF95 * (TODAY()-AD95)/(AE95-AD95+1)))</f>
        <v/>
      </c>
      <c r="AL95">
        <f>AF95 * AJ95</f>
        <v/>
      </c>
      <c r="AM95">
        <f>AI95</f>
        <v/>
      </c>
    </row>
    <row r="96">
      <c r="M96">
        <f>IF(TODAY()&lt;F96, 0, IF(TODAY()&gt;G96, H96, H96 * (TODAY()-F96)/(G96-F96+1)))</f>
        <v/>
      </c>
      <c r="N96">
        <f>H96 * L96</f>
        <v/>
      </c>
      <c r="O96">
        <f>K96</f>
        <v/>
      </c>
      <c r="Y96">
        <f>IF(TODAY()&lt;R96, 0, IF(TODAY()&gt;S96, T96, T96 * (TODAY()-R96)/(S96-R96+1)))</f>
        <v/>
      </c>
      <c r="Z96">
        <f>T96 * X96</f>
        <v/>
      </c>
      <c r="AA96">
        <f>W96</f>
        <v/>
      </c>
      <c r="AK96">
        <f>IF(TODAY()&lt;AD96, 0, IF(TODAY()&gt;AE96, AF96, AF96 * (TODAY()-AD96)/(AE96-AD96+1)))</f>
        <v/>
      </c>
      <c r="AL96">
        <f>AF96 * AJ96</f>
        <v/>
      </c>
      <c r="AM96">
        <f>AI96</f>
        <v/>
      </c>
    </row>
    <row r="97">
      <c r="M97">
        <f>IF(TODAY()&lt;F97, 0, IF(TODAY()&gt;G97, H97, H97 * (TODAY()-F97)/(G97-F97+1)))</f>
        <v/>
      </c>
      <c r="N97">
        <f>H97 * L97</f>
        <v/>
      </c>
      <c r="O97">
        <f>K97</f>
        <v/>
      </c>
      <c r="Y97">
        <f>IF(TODAY()&lt;R97, 0, IF(TODAY()&gt;S97, T97, T97 * (TODAY()-R97)/(S97-R97+1)))</f>
        <v/>
      </c>
      <c r="Z97">
        <f>T97 * X97</f>
        <v/>
      </c>
      <c r="AA97">
        <f>W97</f>
        <v/>
      </c>
      <c r="AK97">
        <f>IF(TODAY()&lt;AD97, 0, IF(TODAY()&gt;AE97, AF97, AF97 * (TODAY()-AD97)/(AE97-AD97+1)))</f>
        <v/>
      </c>
      <c r="AL97">
        <f>AF97 * AJ97</f>
        <v/>
      </c>
      <c r="AM97">
        <f>AI97</f>
        <v/>
      </c>
    </row>
    <row r="98">
      <c r="M98">
        <f>IF(TODAY()&lt;F98, 0, IF(TODAY()&gt;G98, H98, H98 * (TODAY()-F98)/(G98-F98+1)))</f>
        <v/>
      </c>
      <c r="N98">
        <f>H98 * L98</f>
        <v/>
      </c>
      <c r="O98">
        <f>K98</f>
        <v/>
      </c>
      <c r="Y98">
        <f>IF(TODAY()&lt;R98, 0, IF(TODAY()&gt;S98, T98, T98 * (TODAY()-R98)/(S98-R98+1)))</f>
        <v/>
      </c>
      <c r="Z98">
        <f>T98 * X98</f>
        <v/>
      </c>
      <c r="AA98">
        <f>W98</f>
        <v/>
      </c>
      <c r="AK98">
        <f>IF(TODAY()&lt;AD98, 0, IF(TODAY()&gt;AE98, AF98, AF98 * (TODAY()-AD98)/(AE98-AD98+1)))</f>
        <v/>
      </c>
      <c r="AL98">
        <f>AF98 * AJ98</f>
        <v/>
      </c>
      <c r="AM98">
        <f>AI98</f>
        <v/>
      </c>
    </row>
    <row r="99">
      <c r="M99">
        <f>IF(TODAY()&lt;F99, 0, IF(TODAY()&gt;G99, H99, H99 * (TODAY()-F99)/(G99-F99+1)))</f>
        <v/>
      </c>
      <c r="N99">
        <f>H99 * L99</f>
        <v/>
      </c>
      <c r="O99">
        <f>K99</f>
        <v/>
      </c>
      <c r="Y99">
        <f>IF(TODAY()&lt;R99, 0, IF(TODAY()&gt;S99, T99, T99 * (TODAY()-R99)/(S99-R99+1)))</f>
        <v/>
      </c>
      <c r="Z99">
        <f>T99 * X99</f>
        <v/>
      </c>
      <c r="AA99">
        <f>W99</f>
        <v/>
      </c>
      <c r="AK99">
        <f>IF(TODAY()&lt;AD99, 0, IF(TODAY()&gt;AE99, AF99, AF99 * (TODAY()-AD99)/(AE99-AD99+1)))</f>
        <v/>
      </c>
      <c r="AL99">
        <f>AF99 * AJ99</f>
        <v/>
      </c>
      <c r="AM99">
        <f>AI99</f>
        <v/>
      </c>
    </row>
    <row r="100">
      <c r="M100">
        <f>IF(TODAY()&lt;F100, 0, IF(TODAY()&gt;G100, H100, H100 * (TODAY()-F100)/(G100-F100+1)))</f>
        <v/>
      </c>
      <c r="N100">
        <f>H100 * L100</f>
        <v/>
      </c>
      <c r="O100">
        <f>K100</f>
        <v/>
      </c>
      <c r="Y100">
        <f>IF(TODAY()&lt;R100, 0, IF(TODAY()&gt;S100, T100, T100 * (TODAY()-R100)/(S100-R100+1)))</f>
        <v/>
      </c>
      <c r="Z100">
        <f>T100 * X100</f>
        <v/>
      </c>
      <c r="AA100">
        <f>W100</f>
        <v/>
      </c>
      <c r="AK100">
        <f>IF(TODAY()&lt;AD100, 0, IF(TODAY()&gt;AE100, AF100, AF100 * (TODAY()-AD100)/(AE100-AD100+1)))</f>
        <v/>
      </c>
      <c r="AL100">
        <f>AF100 * AJ100</f>
        <v/>
      </c>
      <c r="AM100">
        <f>AI100</f>
        <v/>
      </c>
    </row>
    <row r="101">
      <c r="M101">
        <f>IF(TODAY()&lt;F101, 0, IF(TODAY()&gt;G101, H101, H101 * (TODAY()-F101)/(G101-F101+1)))</f>
        <v/>
      </c>
      <c r="N101">
        <f>H101 * L101</f>
        <v/>
      </c>
      <c r="O101">
        <f>K101</f>
        <v/>
      </c>
      <c r="Y101">
        <f>IF(TODAY()&lt;R101, 0, IF(TODAY()&gt;S101, T101, T101 * (TODAY()-R101)/(S101-R101+1)))</f>
        <v/>
      </c>
      <c r="Z101">
        <f>T101 * X101</f>
        <v/>
      </c>
      <c r="AA101">
        <f>W101</f>
        <v/>
      </c>
      <c r="AK101">
        <f>IF(TODAY()&lt;AD101, 0, IF(TODAY()&gt;AE101, AF101, AF101 * (TODAY()-AD101)/(AE101-AD101+1)))</f>
        <v/>
      </c>
      <c r="AL101">
        <f>AF101 * AJ101</f>
        <v/>
      </c>
      <c r="AM101">
        <f>AI101</f>
        <v/>
      </c>
    </row>
    <row r="102">
      <c r="M102">
        <f>IF(TODAY()&lt;F102, 0, IF(TODAY()&gt;G102, H102, H102 * (TODAY()-F102)/(G102-F102+1)))</f>
        <v/>
      </c>
      <c r="N102">
        <f>H102 * L102</f>
        <v/>
      </c>
      <c r="O102">
        <f>K102</f>
        <v/>
      </c>
      <c r="Y102">
        <f>IF(TODAY()&lt;R102, 0, IF(TODAY()&gt;S102, T102, T102 * (TODAY()-R102)/(S102-R102+1)))</f>
        <v/>
      </c>
      <c r="Z102">
        <f>T102 * X102</f>
        <v/>
      </c>
      <c r="AA102">
        <f>W102</f>
        <v/>
      </c>
      <c r="AK102">
        <f>IF(TODAY()&lt;AD102, 0, IF(TODAY()&gt;AE102, AF102, AF102 * (TODAY()-AD102)/(AE102-AD102+1)))</f>
        <v/>
      </c>
      <c r="AL102">
        <f>AF102 * AJ102</f>
        <v/>
      </c>
      <c r="AM10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Aさんチーム</t>
        </is>
      </c>
    </row>
    <row r="2">
      <c r="A2" s="4" t="inlineStr">
        <is>
          <t>EVM指標集計</t>
        </is>
      </c>
    </row>
    <row r="3">
      <c r="A3" s="5" t="inlineStr">
        <is>
          <t>フェーズ</t>
        </is>
      </c>
      <c r="B3" s="5" t="inlineStr">
        <is>
          <t>PV (計画値)</t>
        </is>
      </c>
      <c r="C3" s="5" t="inlineStr">
        <is>
          <t>EV (出来高)</t>
        </is>
      </c>
      <c r="D3" s="5" t="inlineStr">
        <is>
          <t>AC (実績コスト)</t>
        </is>
      </c>
      <c r="E3" s="5" t="inlineStr">
        <is>
          <t>SV</t>
        </is>
      </c>
      <c r="F3" s="5" t="inlineStr">
        <is>
          <t>CV</t>
        </is>
      </c>
      <c r="G3" s="5" t="inlineStr">
        <is>
          <t>SPI</t>
        </is>
      </c>
      <c r="H3" s="5" t="inlineStr">
        <is>
          <t>CPI</t>
        </is>
      </c>
    </row>
    <row r="4">
      <c r="A4" t="inlineStr">
        <is>
          <t>作成</t>
        </is>
      </c>
      <c r="B4">
        <f>SUMIFS(WBS_EVM!M:M, WBS_EVM!$E:$E, "Aさん")</f>
        <v/>
      </c>
      <c r="C4">
        <f>SUMIFS(WBS_EVM!N:N, WBS_EVM!$E:$E, "Aさん")</f>
        <v/>
      </c>
      <c r="D4">
        <f>SUMIFS(WBS_EVM!O:O, WBS_EVM!$E:$E, "Aさん")</f>
        <v/>
      </c>
      <c r="E4">
        <f>C4-B4</f>
        <v/>
      </c>
      <c r="F4">
        <f>C4-D4</f>
        <v/>
      </c>
      <c r="G4">
        <f>IFERROR(C4/B4, 1)</f>
        <v/>
      </c>
      <c r="H4">
        <f>IFERROR(C4/D4, 1)</f>
        <v/>
      </c>
    </row>
    <row r="5">
      <c r="A5" t="inlineStr">
        <is>
          <t>レビュー実施</t>
        </is>
      </c>
      <c r="B5">
        <f>SUMIFS(WBS_EVM!Y:Y, WBS_EVM!$Q:$Q, "Aさん")</f>
        <v/>
      </c>
      <c r="C5">
        <f>SUMIFS(WBS_EVM!Z:Z, WBS_EVM!$Q:$Q, "Aさん")</f>
        <v/>
      </c>
      <c r="D5">
        <f>SUMIFS(WBS_EVM!AA:AA, WBS_EVM!$Q:$Q, "Aさん")</f>
        <v/>
      </c>
      <c r="E5">
        <f>C5-B5</f>
        <v/>
      </c>
      <c r="F5">
        <f>C5-D5</f>
        <v/>
      </c>
      <c r="G5">
        <f>IFERROR(C5/B5, 1)</f>
        <v/>
      </c>
      <c r="H5">
        <f>IFERROR(C5/D5, 1)</f>
        <v/>
      </c>
    </row>
    <row r="6">
      <c r="A6" t="inlineStr">
        <is>
          <t>レビュー後修正</t>
        </is>
      </c>
      <c r="B6">
        <f>SUMIFS(WBS_EVM!AK:AK, WBS_EVM!$AC:$AC, "Aさん")</f>
        <v/>
      </c>
      <c r="C6">
        <f>SUMIFS(WBS_EVM!AL:AL, WBS_EVM!$AC:$AC, "Aさん")</f>
        <v/>
      </c>
      <c r="D6">
        <f>SUMIFS(WBS_EVM!AM:AM, WBS_EVM!$AC:$AC, "Aさん")</f>
        <v/>
      </c>
      <c r="E6">
        <f>C6-B6</f>
        <v/>
      </c>
      <c r="F6">
        <f>C6-D6</f>
        <v/>
      </c>
      <c r="G6">
        <f>IFERROR(C6/B6, 1)</f>
        <v/>
      </c>
      <c r="H6">
        <f>IFERROR(C6/D6, 1)</f>
        <v/>
      </c>
    </row>
    <row r="8">
      <c r="A8" s="4" t="inlineStr">
        <is>
          <t>タスクメトリクス</t>
        </is>
      </c>
    </row>
    <row r="9">
      <c r="A9" s="5" t="inlineStr">
        <is>
          <t>フェーズ</t>
        </is>
      </c>
      <c r="B9" s="5" t="inlineStr">
        <is>
          <t>総数</t>
        </is>
      </c>
      <c r="C9" s="5" t="inlineStr">
        <is>
          <t>仕掛かり(予定)</t>
        </is>
      </c>
      <c r="D9" s="5" t="inlineStr">
        <is>
          <t>仕掛かり(実績)</t>
        </is>
      </c>
      <c r="E9" s="5" t="inlineStr">
        <is>
          <t>完了(予定)</t>
        </is>
      </c>
      <c r="F9" s="5" t="inlineStr">
        <is>
          <t>完了(実績)</t>
        </is>
      </c>
    </row>
    <row r="10">
      <c r="A10" t="inlineStr">
        <is>
          <t>作成</t>
        </is>
      </c>
      <c r="B10">
        <f>COUNTIFS(WBS_EVM!$E:$E, "Aさん", WBS_EVM!$H:$H, "&gt;0")</f>
        <v/>
      </c>
      <c r="F10">
        <f>COUNTIFS(WBS_EVM!$E:$E, "Aさん", WBS_EVM!$K:$K, "&lt;&gt;")</f>
        <v/>
      </c>
    </row>
    <row r="11">
      <c r="A11" t="inlineStr">
        <is>
          <t>レビュー実施</t>
        </is>
      </c>
      <c r="B11">
        <f>COUNTIFS(WBS_EVM!$Q:$Q, "Aさん", WBS_EVM!$T:$T, "&gt;0")</f>
        <v/>
      </c>
      <c r="F11">
        <f>COUNTIFS(WBS_EVM!$Q:$Q, "Aさん", WBS_EVM!$W:$W, "&lt;&gt;")</f>
        <v/>
      </c>
    </row>
    <row r="12">
      <c r="A12" t="inlineStr">
        <is>
          <t>レビュー後修正</t>
        </is>
      </c>
      <c r="B12">
        <f>COUNTIFS(WBS_EVM!$AC:$AC, "Aさん", WBS_EVM!$AF:$AF, "&gt;0")</f>
        <v/>
      </c>
      <c r="F12">
        <f>COUNTIFS(WBS_EVM!$AC:$AC, "Aさん", WBS_EVM!$AI:$AI, "&lt;&gt;")</f>
        <v/>
      </c>
    </row>
    <row r="15">
      <c r="A15" s="1" t="inlineStr">
        <is>
          <t>Dさんチーム</t>
        </is>
      </c>
    </row>
    <row r="16">
      <c r="A16" s="4" t="inlineStr">
        <is>
          <t>EVM指標集計</t>
        </is>
      </c>
    </row>
    <row r="17">
      <c r="A17" s="5" t="inlineStr">
        <is>
          <t>フェーズ</t>
        </is>
      </c>
      <c r="B17" s="5" t="inlineStr">
        <is>
          <t>PV (計画値)</t>
        </is>
      </c>
      <c r="C17" s="5" t="inlineStr">
        <is>
          <t>EV (出来高)</t>
        </is>
      </c>
      <c r="D17" s="5" t="inlineStr">
        <is>
          <t>AC (実績コスト)</t>
        </is>
      </c>
      <c r="E17" s="5" t="inlineStr">
        <is>
          <t>SV</t>
        </is>
      </c>
      <c r="F17" s="5" t="inlineStr">
        <is>
          <t>CV</t>
        </is>
      </c>
      <c r="G17" s="5" t="inlineStr">
        <is>
          <t>SPI</t>
        </is>
      </c>
      <c r="H17" s="5" t="inlineStr">
        <is>
          <t>CPI</t>
        </is>
      </c>
    </row>
    <row r="18">
      <c r="A18" t="inlineStr">
        <is>
          <t>作成</t>
        </is>
      </c>
      <c r="B18">
        <f>SUMIFS(WBS_EVM!M:M, WBS_EVM!$E:$E, "Dさん")</f>
        <v/>
      </c>
      <c r="C18">
        <f>SUMIFS(WBS_EVM!N:N, WBS_EVM!$E:$E, "Dさん")</f>
        <v/>
      </c>
      <c r="D18">
        <f>SUMIFS(WBS_EVM!O:O, WBS_EVM!$E:$E, "Dさん")</f>
        <v/>
      </c>
      <c r="E18">
        <f>C18-B18</f>
        <v/>
      </c>
      <c r="F18">
        <f>C18-D18</f>
        <v/>
      </c>
      <c r="G18">
        <f>IFERROR(C18/B18, 1)</f>
        <v/>
      </c>
      <c r="H18">
        <f>IFERROR(C18/D18, 1)</f>
        <v/>
      </c>
    </row>
    <row r="19">
      <c r="A19" t="inlineStr">
        <is>
          <t>レビュー実施</t>
        </is>
      </c>
      <c r="B19">
        <f>SUMIFS(WBS_EVM!Y:Y, WBS_EVM!$Q:$Q, "Dさん")</f>
        <v/>
      </c>
      <c r="C19">
        <f>SUMIFS(WBS_EVM!Z:Z, WBS_EVM!$Q:$Q, "Dさん")</f>
        <v/>
      </c>
      <c r="D19">
        <f>SUMIFS(WBS_EVM!AA:AA, WBS_EVM!$Q:$Q, "Dさん")</f>
        <v/>
      </c>
      <c r="E19">
        <f>C19-B19</f>
        <v/>
      </c>
      <c r="F19">
        <f>C19-D19</f>
        <v/>
      </c>
      <c r="G19">
        <f>IFERROR(C19/B19, 1)</f>
        <v/>
      </c>
      <c r="H19">
        <f>IFERROR(C19/D19, 1)</f>
        <v/>
      </c>
    </row>
    <row r="20">
      <c r="A20" t="inlineStr">
        <is>
          <t>レビュー後修正</t>
        </is>
      </c>
      <c r="B20">
        <f>SUMIFS(WBS_EVM!AK:AK, WBS_EVM!$AC:$AC, "Dさん")</f>
        <v/>
      </c>
      <c r="C20">
        <f>SUMIFS(WBS_EVM!AL:AL, WBS_EVM!$AC:$AC, "Dさん")</f>
        <v/>
      </c>
      <c r="D20">
        <f>SUMIFS(WBS_EVM!AM:AM, WBS_EVM!$AC:$AC, "Dさん")</f>
        <v/>
      </c>
      <c r="E20">
        <f>C20-B20</f>
        <v/>
      </c>
      <c r="F20">
        <f>C20-D20</f>
        <v/>
      </c>
      <c r="G20">
        <f>IFERROR(C20/B20, 1)</f>
        <v/>
      </c>
      <c r="H20">
        <f>IFERROR(C20/D20, 1)</f>
        <v/>
      </c>
    </row>
    <row r="22">
      <c r="A22" s="4" t="inlineStr">
        <is>
          <t>タスクメトリクス</t>
        </is>
      </c>
    </row>
    <row r="23">
      <c r="A23" s="5" t="inlineStr">
        <is>
          <t>フェーズ</t>
        </is>
      </c>
      <c r="B23" s="5" t="inlineStr">
        <is>
          <t>総数</t>
        </is>
      </c>
      <c r="C23" s="5" t="inlineStr">
        <is>
          <t>仕掛かり(予定)</t>
        </is>
      </c>
      <c r="D23" s="5" t="inlineStr">
        <is>
          <t>仕掛かり(実績)</t>
        </is>
      </c>
      <c r="E23" s="5" t="inlineStr">
        <is>
          <t>完了(予定)</t>
        </is>
      </c>
      <c r="F23" s="5" t="inlineStr">
        <is>
          <t>完了(実績)</t>
        </is>
      </c>
    </row>
    <row r="24">
      <c r="A24" t="inlineStr">
        <is>
          <t>作成</t>
        </is>
      </c>
      <c r="B24">
        <f>COUNTIFS(WBS_EVM!$E:$E, "Dさん", WBS_EVM!$H:$H, "&gt;0")</f>
        <v/>
      </c>
      <c r="F24">
        <f>COUNTIFS(WBS_EVM!$E:$E, "Dさん", WBS_EVM!$K:$K, "&lt;&gt;")</f>
        <v/>
      </c>
    </row>
    <row r="25">
      <c r="A25" t="inlineStr">
        <is>
          <t>レビュー実施</t>
        </is>
      </c>
      <c r="B25">
        <f>COUNTIFS(WBS_EVM!$Q:$Q, "Dさん", WBS_EVM!$T:$T, "&gt;0")</f>
        <v/>
      </c>
      <c r="F25">
        <f>COUNTIFS(WBS_EVM!$Q:$Q, "Dさん", WBS_EVM!$W:$W, "&lt;&gt;")</f>
        <v/>
      </c>
    </row>
    <row r="26">
      <c r="A26" t="inlineStr">
        <is>
          <t>レビュー後修正</t>
        </is>
      </c>
      <c r="B26">
        <f>COUNTIFS(WBS_EVM!$AC:$AC, "Dさん", WBS_EVM!$AF:$AF, "&gt;0")</f>
        <v/>
      </c>
      <c r="F26">
        <f>COUNTIFS(WBS_EVM!$AC:$AC, "Dさん", WBS_EVM!$AI:$AI, "&lt;&gt;")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2026-05-03T06:10:23Z</dcterms:created>
  <dcterms:modified xsi:type="dcterms:W3CDTF">2026-05-03T06:10:23Z</dcterms:modified>
</cp:coreProperties>
</file>