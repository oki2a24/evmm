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WBS_EVM" sheetId="2" state="visible" r:id="rId2"/>
    <sheet name="チームEVM" sheetId="3" state="visible" r:id="rId3"/>
    <sheet name="個人SV" sheetId="4" state="visible" r:id="rId4"/>
  </sheets>
  <definedNames>
    <definedName name="MEMBER_LIST">Settings!$A$5:$A$100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E0E0E0"/>
        <bgColor rgb="00E0E0E0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4" pivotButton="0" quotePrefix="0" xfId="0"/>
    <xf numFmtId="0" fontId="2" fillId="2" borderId="5" pivotButton="0" quotePrefix="0" xfId="0"/>
    <xf numFmtId="0" fontId="2" fillId="2" borderId="6" pivotButton="0" quotePrefix="0" xfId="0"/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1" pivotButton="0" quotePrefix="0" xfId="0"/>
    <xf numFmtId="0" fontId="3" fillId="0" borderId="4" pivotButton="0" quotePrefix="0" xfId="0"/>
    <xf numFmtId="0" fontId="3" fillId="3" borderId="4" pivotButton="0" quotePrefix="0" xfId="0"/>
    <xf numFmtId="0" fontId="3" fillId="3" borderId="5" pivotButton="0" quotePrefix="0" xfId="0"/>
    <xf numFmtId="0" fontId="3" fillId="3" borderId="6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プロジェクト基本情報</t>
        </is>
      </c>
    </row>
    <row r="2">
      <c r="A2" t="inlineStr">
        <is>
          <t>プロジェクト開始日</t>
        </is>
      </c>
      <c r="B2" t="inlineStr">
        <is>
          <t>2026/05/01</t>
        </is>
      </c>
    </row>
    <row r="3">
      <c r="A3" s="1" t="inlineStr">
        <is>
          <t>メンバーリスト</t>
        </is>
      </c>
    </row>
    <row r="4">
      <c r="A4" t="inlineStr">
        <is>
          <t>メンバー名</t>
        </is>
      </c>
      <c r="B4" t="inlineStr">
        <is>
          <t>役割</t>
        </is>
      </c>
      <c r="C4" t="inlineStr">
        <is>
          <t>チームリーダー</t>
        </is>
      </c>
    </row>
    <row r="5">
      <c r="A5" t="inlineStr">
        <is>
          <t>Aさん</t>
        </is>
      </c>
      <c r="B5" t="inlineStr">
        <is>
          <t>リーダー</t>
        </is>
      </c>
      <c r="C5" t="inlineStr">
        <is>
          <t>Aさん</t>
        </is>
      </c>
    </row>
    <row r="6">
      <c r="A6" t="inlineStr">
        <is>
          <t>Bさん</t>
        </is>
      </c>
      <c r="B6" t="inlineStr">
        <is>
          <t>メンバー</t>
        </is>
      </c>
      <c r="C6" t="inlineStr">
        <is>
          <t>Aさん</t>
        </is>
      </c>
    </row>
    <row r="7">
      <c r="A7" t="inlineStr">
        <is>
          <t>Cさん</t>
        </is>
      </c>
      <c r="B7" t="inlineStr">
        <is>
          <t>メンバー</t>
        </is>
      </c>
      <c r="C7" t="inlineStr">
        <is>
          <t>Aさん</t>
        </is>
      </c>
    </row>
    <row r="8">
      <c r="A8" t="inlineStr">
        <is>
          <t>Dさん</t>
        </is>
      </c>
      <c r="B8" t="inlineStr">
        <is>
          <t>リーダー</t>
        </is>
      </c>
      <c r="C8" t="inlineStr">
        <is>
          <t>Dさん</t>
        </is>
      </c>
    </row>
    <row r="9">
      <c r="A9" t="inlineStr">
        <is>
          <t>Eさん</t>
        </is>
      </c>
      <c r="B9" t="inlineStr">
        <is>
          <t>メンバー</t>
        </is>
      </c>
      <c r="C9" t="inlineStr">
        <is>
          <t>Dさん</t>
        </is>
      </c>
    </row>
    <row r="10">
      <c r="A10" t="inlineStr">
        <is>
          <t>Fさん</t>
        </is>
      </c>
      <c r="B10" t="inlineStr">
        <is>
          <t>メンバー</t>
        </is>
      </c>
      <c r="C10" t="inlineStr">
        <is>
          <t>Dさん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selection activeCell="A1" sqref="A1"/>
    </sheetView>
  </sheetViews>
  <sheetFormatPr baseColWidth="8" defaultRowHeight="15"/>
  <sheetData>
    <row r="1">
      <c r="A1" s="2" t="n"/>
      <c r="B1" s="3" t="n"/>
      <c r="C1" s="4" t="n"/>
      <c r="D1" s="5" t="inlineStr">
        <is>
          <t>作成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  <c r="P1" s="5" t="inlineStr">
        <is>
          <t>レビュー実施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4" t="n"/>
      <c r="AB1" s="5" t="inlineStr">
        <is>
          <t>レビュー後修正</t>
        </is>
      </c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4" t="n"/>
    </row>
    <row r="2">
      <c r="A2" s="6" t="inlineStr">
        <is>
          <t>No</t>
        </is>
      </c>
      <c r="B2" s="7" t="inlineStr">
        <is>
          <t>機能ID</t>
        </is>
      </c>
      <c r="C2" s="8" t="inlineStr">
        <is>
          <t>機能名称</t>
        </is>
      </c>
      <c r="D2" s="9" t="inlineStr">
        <is>
          <t>担当メンバー</t>
        </is>
      </c>
      <c r="E2" s="9" t="inlineStr">
        <is>
          <t>チームリーダー</t>
        </is>
      </c>
      <c r="F2" s="9" t="inlineStr">
        <is>
          <t>開始日予定</t>
        </is>
      </c>
      <c r="G2" s="9" t="inlineStr">
        <is>
          <t>終了日予定</t>
        </is>
      </c>
      <c r="H2" s="9" t="inlineStr">
        <is>
          <t>工数予定</t>
        </is>
      </c>
      <c r="I2" s="9" t="inlineStr">
        <is>
          <t>開始日実績</t>
        </is>
      </c>
      <c r="J2" s="9" t="inlineStr">
        <is>
          <t>終了日実績</t>
        </is>
      </c>
      <c r="K2" s="9" t="inlineStr">
        <is>
          <t>工数実績</t>
        </is>
      </c>
      <c r="L2" s="9" t="inlineStr">
        <is>
          <t>進捗率(%)</t>
        </is>
      </c>
      <c r="M2" s="9" t="inlineStr">
        <is>
          <t>PV (計画値)</t>
        </is>
      </c>
      <c r="N2" s="9" t="inlineStr">
        <is>
          <t>EV (出来高)</t>
        </is>
      </c>
      <c r="O2" s="10" t="inlineStr">
        <is>
          <t>AC (実績コスト)</t>
        </is>
      </c>
      <c r="P2" s="9" t="inlineStr">
        <is>
          <t>担当メンバー</t>
        </is>
      </c>
      <c r="Q2" s="9" t="inlineStr">
        <is>
          <t>チームリーダー</t>
        </is>
      </c>
      <c r="R2" s="9" t="inlineStr">
        <is>
          <t>開始日予定</t>
        </is>
      </c>
      <c r="S2" s="9" t="inlineStr">
        <is>
          <t>終了日予定</t>
        </is>
      </c>
      <c r="T2" s="9" t="inlineStr">
        <is>
          <t>工数予定</t>
        </is>
      </c>
      <c r="U2" s="9" t="inlineStr">
        <is>
          <t>開始日実績</t>
        </is>
      </c>
      <c r="V2" s="9" t="inlineStr">
        <is>
          <t>終了日実績</t>
        </is>
      </c>
      <c r="W2" s="9" t="inlineStr">
        <is>
          <t>工数実績</t>
        </is>
      </c>
      <c r="X2" s="9" t="inlineStr">
        <is>
          <t>進捗率(%)</t>
        </is>
      </c>
      <c r="Y2" s="9" t="inlineStr">
        <is>
          <t>PV (計画値)</t>
        </is>
      </c>
      <c r="Z2" s="9" t="inlineStr">
        <is>
          <t>EV (出来高)</t>
        </is>
      </c>
      <c r="AA2" s="10" t="inlineStr">
        <is>
          <t>AC (実績コスト)</t>
        </is>
      </c>
      <c r="AB2" s="9" t="inlineStr">
        <is>
          <t>担当メンバー</t>
        </is>
      </c>
      <c r="AC2" s="9" t="inlineStr">
        <is>
          <t>チームリーダー</t>
        </is>
      </c>
      <c r="AD2" s="9" t="inlineStr">
        <is>
          <t>開始日予定</t>
        </is>
      </c>
      <c r="AE2" s="9" t="inlineStr">
        <is>
          <t>終了日予定</t>
        </is>
      </c>
      <c r="AF2" s="9" t="inlineStr">
        <is>
          <t>工数予定</t>
        </is>
      </c>
      <c r="AG2" s="9" t="inlineStr">
        <is>
          <t>開始日実績</t>
        </is>
      </c>
      <c r="AH2" s="9" t="inlineStr">
        <is>
          <t>終了日実績</t>
        </is>
      </c>
      <c r="AI2" s="9" t="inlineStr">
        <is>
          <t>工数実績</t>
        </is>
      </c>
      <c r="AJ2" s="9" t="inlineStr">
        <is>
          <t>進捗率(%)</t>
        </is>
      </c>
      <c r="AK2" s="9" t="inlineStr">
        <is>
          <t>PV (計画値)</t>
        </is>
      </c>
      <c r="AL2" s="9" t="inlineStr">
        <is>
          <t>EV (出来高)</t>
        </is>
      </c>
      <c r="AM2" s="10" t="inlineStr">
        <is>
          <t>AC (実績コスト)</t>
        </is>
      </c>
    </row>
    <row r="3">
      <c r="A3" s="11" t="n"/>
      <c r="B3" s="12" t="n"/>
      <c r="C3" s="13" t="n"/>
      <c r="D3" s="12" t="n"/>
      <c r="E3" s="12" t="n"/>
      <c r="F3" s="12" t="n"/>
      <c r="G3" s="12" t="n"/>
      <c r="H3" s="12" t="n"/>
      <c r="I3" s="12" t="n"/>
      <c r="J3" s="12" t="n"/>
      <c r="K3" s="12" t="n"/>
      <c r="L3" s="14" t="n"/>
      <c r="M3" s="15">
        <f>IF(TODAY()&lt;F3, 0, IF(TODAY()&gt;G3, H3, H3 * (TODAY()-F3)/(G3-F3+1)))</f>
        <v/>
      </c>
      <c r="N3" s="15">
        <f>H3 * (L3/100)</f>
        <v/>
      </c>
      <c r="O3" s="16">
        <f>K3</f>
        <v/>
      </c>
      <c r="P3" s="12" t="n"/>
      <c r="Q3" s="12" t="n"/>
      <c r="R3" s="12" t="n"/>
      <c r="S3" s="12" t="n"/>
      <c r="T3" s="12" t="n"/>
      <c r="U3" s="12" t="n"/>
      <c r="V3" s="12" t="n"/>
      <c r="W3" s="12" t="n"/>
      <c r="X3" s="14" t="n"/>
      <c r="Y3" s="15">
        <f>IF(TODAY()&lt;R3, 0, IF(TODAY()&gt;S3, T3, T3 * (TODAY()-R3)/(S3-R3+1)))</f>
        <v/>
      </c>
      <c r="Z3" s="15">
        <f>T3 * (X3/100)</f>
        <v/>
      </c>
      <c r="AA3" s="16">
        <f>W3</f>
        <v/>
      </c>
      <c r="AB3" s="12" t="n"/>
      <c r="AC3" s="12" t="n"/>
      <c r="AD3" s="12" t="n"/>
      <c r="AE3" s="12" t="n"/>
      <c r="AF3" s="12" t="n"/>
      <c r="AG3" s="12" t="n"/>
      <c r="AH3" s="12" t="n"/>
      <c r="AI3" s="12" t="n"/>
      <c r="AJ3" s="14" t="n"/>
      <c r="AK3" s="15">
        <f>IF(TODAY()&lt;AD3, 0, IF(TODAY()&gt;AE3, AF3, AF3 * (TODAY()-AD3)/(AE3-AD3+1)))</f>
        <v/>
      </c>
      <c r="AL3" s="15">
        <f>AF3 * (AJ3/100)</f>
        <v/>
      </c>
      <c r="AM3" s="16">
        <f>AI3</f>
        <v/>
      </c>
    </row>
    <row r="4">
      <c r="A4" s="11" t="n"/>
      <c r="B4" s="12" t="n"/>
      <c r="C4" s="13" t="n"/>
      <c r="D4" s="12" t="n"/>
      <c r="E4" s="12" t="n"/>
      <c r="F4" s="12" t="n"/>
      <c r="G4" s="12" t="n"/>
      <c r="H4" s="12" t="n"/>
      <c r="I4" s="12" t="n"/>
      <c r="J4" s="12" t="n"/>
      <c r="K4" s="12" t="n"/>
      <c r="L4" s="14" t="n"/>
      <c r="M4" s="15">
        <f>IF(TODAY()&lt;F4, 0, IF(TODAY()&gt;G4, H4, H4 * (TODAY()-F4)/(G4-F4+1)))</f>
        <v/>
      </c>
      <c r="N4" s="15">
        <f>H4 * (L4/100)</f>
        <v/>
      </c>
      <c r="O4" s="16">
        <f>K4</f>
        <v/>
      </c>
      <c r="P4" s="12" t="n"/>
      <c r="Q4" s="12" t="n"/>
      <c r="R4" s="12" t="n"/>
      <c r="S4" s="12" t="n"/>
      <c r="T4" s="12" t="n"/>
      <c r="U4" s="12" t="n"/>
      <c r="V4" s="12" t="n"/>
      <c r="W4" s="12" t="n"/>
      <c r="X4" s="14" t="n"/>
      <c r="Y4" s="15">
        <f>IF(TODAY()&lt;R4, 0, IF(TODAY()&gt;S4, T4, T4 * (TODAY()-R4)/(S4-R4+1)))</f>
        <v/>
      </c>
      <c r="Z4" s="15">
        <f>T4 * (X4/100)</f>
        <v/>
      </c>
      <c r="AA4" s="16">
        <f>W4</f>
        <v/>
      </c>
      <c r="AB4" s="12" t="n"/>
      <c r="AC4" s="12" t="n"/>
      <c r="AD4" s="12" t="n"/>
      <c r="AE4" s="12" t="n"/>
      <c r="AF4" s="12" t="n"/>
      <c r="AG4" s="12" t="n"/>
      <c r="AH4" s="12" t="n"/>
      <c r="AI4" s="12" t="n"/>
      <c r="AJ4" s="14" t="n"/>
      <c r="AK4" s="15">
        <f>IF(TODAY()&lt;AD4, 0, IF(TODAY()&gt;AE4, AF4, AF4 * (TODAY()-AD4)/(AE4-AD4+1)))</f>
        <v/>
      </c>
      <c r="AL4" s="15">
        <f>AF4 * (AJ4/100)</f>
        <v/>
      </c>
      <c r="AM4" s="16">
        <f>AI4</f>
        <v/>
      </c>
    </row>
    <row r="5">
      <c r="A5" s="11" t="n"/>
      <c r="B5" s="12" t="n"/>
      <c r="C5" s="13" t="n"/>
      <c r="D5" s="12" t="n"/>
      <c r="E5" s="12" t="n"/>
      <c r="F5" s="12" t="n"/>
      <c r="G5" s="12" t="n"/>
      <c r="H5" s="12" t="n"/>
      <c r="I5" s="12" t="n"/>
      <c r="J5" s="12" t="n"/>
      <c r="K5" s="12" t="n"/>
      <c r="L5" s="14" t="n"/>
      <c r="M5" s="15">
        <f>IF(TODAY()&lt;F5, 0, IF(TODAY()&gt;G5, H5, H5 * (TODAY()-F5)/(G5-F5+1)))</f>
        <v/>
      </c>
      <c r="N5" s="15">
        <f>H5 * (L5/100)</f>
        <v/>
      </c>
      <c r="O5" s="16">
        <f>K5</f>
        <v/>
      </c>
      <c r="P5" s="12" t="n"/>
      <c r="Q5" s="12" t="n"/>
      <c r="R5" s="12" t="n"/>
      <c r="S5" s="12" t="n"/>
      <c r="T5" s="12" t="n"/>
      <c r="U5" s="12" t="n"/>
      <c r="V5" s="12" t="n"/>
      <c r="W5" s="12" t="n"/>
      <c r="X5" s="14" t="n"/>
      <c r="Y5" s="15">
        <f>IF(TODAY()&lt;R5, 0, IF(TODAY()&gt;S5, T5, T5 * (TODAY()-R5)/(S5-R5+1)))</f>
        <v/>
      </c>
      <c r="Z5" s="15">
        <f>T5 * (X5/100)</f>
        <v/>
      </c>
      <c r="AA5" s="16">
        <f>W5</f>
        <v/>
      </c>
      <c r="AB5" s="12" t="n"/>
      <c r="AC5" s="12" t="n"/>
      <c r="AD5" s="12" t="n"/>
      <c r="AE5" s="12" t="n"/>
      <c r="AF5" s="12" t="n"/>
      <c r="AG5" s="12" t="n"/>
      <c r="AH5" s="12" t="n"/>
      <c r="AI5" s="12" t="n"/>
      <c r="AJ5" s="14" t="n"/>
      <c r="AK5" s="15">
        <f>IF(TODAY()&lt;AD5, 0, IF(TODAY()&gt;AE5, AF5, AF5 * (TODAY()-AD5)/(AE5-AD5+1)))</f>
        <v/>
      </c>
      <c r="AL5" s="15">
        <f>AF5 * (AJ5/100)</f>
        <v/>
      </c>
      <c r="AM5" s="16">
        <f>AI5</f>
        <v/>
      </c>
    </row>
    <row r="6">
      <c r="A6" s="11" t="n"/>
      <c r="B6" s="12" t="n"/>
      <c r="C6" s="13" t="n"/>
      <c r="D6" s="12" t="n"/>
      <c r="E6" s="12" t="n"/>
      <c r="F6" s="12" t="n"/>
      <c r="G6" s="12" t="n"/>
      <c r="H6" s="12" t="n"/>
      <c r="I6" s="12" t="n"/>
      <c r="J6" s="12" t="n"/>
      <c r="K6" s="12" t="n"/>
      <c r="L6" s="14" t="n"/>
      <c r="M6" s="15">
        <f>IF(TODAY()&lt;F6, 0, IF(TODAY()&gt;G6, H6, H6 * (TODAY()-F6)/(G6-F6+1)))</f>
        <v/>
      </c>
      <c r="N6" s="15">
        <f>H6 * (L6/100)</f>
        <v/>
      </c>
      <c r="O6" s="16">
        <f>K6</f>
        <v/>
      </c>
      <c r="P6" s="12" t="n"/>
      <c r="Q6" s="12" t="n"/>
      <c r="R6" s="12" t="n"/>
      <c r="S6" s="12" t="n"/>
      <c r="T6" s="12" t="n"/>
      <c r="U6" s="12" t="n"/>
      <c r="V6" s="12" t="n"/>
      <c r="W6" s="12" t="n"/>
      <c r="X6" s="14" t="n"/>
      <c r="Y6" s="15">
        <f>IF(TODAY()&lt;R6, 0, IF(TODAY()&gt;S6, T6, T6 * (TODAY()-R6)/(S6-R6+1)))</f>
        <v/>
      </c>
      <c r="Z6" s="15">
        <f>T6 * (X6/100)</f>
        <v/>
      </c>
      <c r="AA6" s="16">
        <f>W6</f>
        <v/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4" t="n"/>
      <c r="AK6" s="15">
        <f>IF(TODAY()&lt;AD6, 0, IF(TODAY()&gt;AE6, AF6, AF6 * (TODAY()-AD6)/(AE6-AD6+1)))</f>
        <v/>
      </c>
      <c r="AL6" s="15">
        <f>AF6 * (AJ6/100)</f>
        <v/>
      </c>
      <c r="AM6" s="16">
        <f>AI6</f>
        <v/>
      </c>
    </row>
    <row r="7">
      <c r="A7" s="11" t="n"/>
      <c r="B7" s="12" t="n"/>
      <c r="C7" s="13" t="n"/>
      <c r="D7" s="12" t="n"/>
      <c r="E7" s="12" t="n"/>
      <c r="F7" s="12" t="n"/>
      <c r="G7" s="12" t="n"/>
      <c r="H7" s="12" t="n"/>
      <c r="I7" s="12" t="n"/>
      <c r="J7" s="12" t="n"/>
      <c r="K7" s="12" t="n"/>
      <c r="L7" s="14" t="n"/>
      <c r="M7" s="15">
        <f>IF(TODAY()&lt;F7, 0, IF(TODAY()&gt;G7, H7, H7 * (TODAY()-F7)/(G7-F7+1)))</f>
        <v/>
      </c>
      <c r="N7" s="15">
        <f>H7 * (L7/100)</f>
        <v/>
      </c>
      <c r="O7" s="16">
        <f>K7</f>
        <v/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4" t="n"/>
      <c r="Y7" s="15">
        <f>IF(TODAY()&lt;R7, 0, IF(TODAY()&gt;S7, T7, T7 * (TODAY()-R7)/(S7-R7+1)))</f>
        <v/>
      </c>
      <c r="Z7" s="15">
        <f>T7 * (X7/100)</f>
        <v/>
      </c>
      <c r="AA7" s="16">
        <f>W7</f>
        <v/>
      </c>
      <c r="AB7" s="12" t="n"/>
      <c r="AC7" s="12" t="n"/>
      <c r="AD7" s="12" t="n"/>
      <c r="AE7" s="12" t="n"/>
      <c r="AF7" s="12" t="n"/>
      <c r="AG7" s="12" t="n"/>
      <c r="AH7" s="12" t="n"/>
      <c r="AI7" s="12" t="n"/>
      <c r="AJ7" s="14" t="n"/>
      <c r="AK7" s="15">
        <f>IF(TODAY()&lt;AD7, 0, IF(TODAY()&gt;AE7, AF7, AF7 * (TODAY()-AD7)/(AE7-AD7+1)))</f>
        <v/>
      </c>
      <c r="AL7" s="15">
        <f>AF7 * (AJ7/100)</f>
        <v/>
      </c>
      <c r="AM7" s="16">
        <f>AI7</f>
        <v/>
      </c>
    </row>
    <row r="8">
      <c r="A8" s="11" t="n"/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4" t="n"/>
      <c r="M8" s="15">
        <f>IF(TODAY()&lt;F8, 0, IF(TODAY()&gt;G8, H8, H8 * (TODAY()-F8)/(G8-F8+1)))</f>
        <v/>
      </c>
      <c r="N8" s="15">
        <f>H8 * (L8/100)</f>
        <v/>
      </c>
      <c r="O8" s="16">
        <f>K8</f>
        <v/>
      </c>
      <c r="P8" s="12" t="n"/>
      <c r="Q8" s="12" t="n"/>
      <c r="R8" s="12" t="n"/>
      <c r="S8" s="12" t="n"/>
      <c r="T8" s="12" t="n"/>
      <c r="U8" s="12" t="n"/>
      <c r="V8" s="12" t="n"/>
      <c r="W8" s="12" t="n"/>
      <c r="X8" s="14" t="n"/>
      <c r="Y8" s="15">
        <f>IF(TODAY()&lt;R8, 0, IF(TODAY()&gt;S8, T8, T8 * (TODAY()-R8)/(S8-R8+1)))</f>
        <v/>
      </c>
      <c r="Z8" s="15">
        <f>T8 * (X8/100)</f>
        <v/>
      </c>
      <c r="AA8" s="16">
        <f>W8</f>
        <v/>
      </c>
      <c r="AB8" s="12" t="n"/>
      <c r="AC8" s="12" t="n"/>
      <c r="AD8" s="12" t="n"/>
      <c r="AE8" s="12" t="n"/>
      <c r="AF8" s="12" t="n"/>
      <c r="AG8" s="12" t="n"/>
      <c r="AH8" s="12" t="n"/>
      <c r="AI8" s="12" t="n"/>
      <c r="AJ8" s="14" t="n"/>
      <c r="AK8" s="15">
        <f>IF(TODAY()&lt;AD8, 0, IF(TODAY()&gt;AE8, AF8, AF8 * (TODAY()-AD8)/(AE8-AD8+1)))</f>
        <v/>
      </c>
      <c r="AL8" s="15">
        <f>AF8 * (AJ8/100)</f>
        <v/>
      </c>
      <c r="AM8" s="16">
        <f>AI8</f>
        <v/>
      </c>
    </row>
    <row r="9">
      <c r="A9" s="11" t="n"/>
      <c r="B9" s="12" t="n"/>
      <c r="C9" s="13" t="n"/>
      <c r="D9" s="12" t="n"/>
      <c r="E9" s="12" t="n"/>
      <c r="F9" s="12" t="n"/>
      <c r="G9" s="12" t="n"/>
      <c r="H9" s="12" t="n"/>
      <c r="I9" s="12" t="n"/>
      <c r="J9" s="12" t="n"/>
      <c r="K9" s="12" t="n"/>
      <c r="L9" s="14" t="n"/>
      <c r="M9" s="15">
        <f>IF(TODAY()&lt;F9, 0, IF(TODAY()&gt;G9, H9, H9 * (TODAY()-F9)/(G9-F9+1)))</f>
        <v/>
      </c>
      <c r="N9" s="15">
        <f>H9 * (L9/100)</f>
        <v/>
      </c>
      <c r="O9" s="16">
        <f>K9</f>
        <v/>
      </c>
      <c r="P9" s="12" t="n"/>
      <c r="Q9" s="12" t="n"/>
      <c r="R9" s="12" t="n"/>
      <c r="S9" s="12" t="n"/>
      <c r="T9" s="12" t="n"/>
      <c r="U9" s="12" t="n"/>
      <c r="V9" s="12" t="n"/>
      <c r="W9" s="12" t="n"/>
      <c r="X9" s="14" t="n"/>
      <c r="Y9" s="15">
        <f>IF(TODAY()&lt;R9, 0, IF(TODAY()&gt;S9, T9, T9 * (TODAY()-R9)/(S9-R9+1)))</f>
        <v/>
      </c>
      <c r="Z9" s="15">
        <f>T9 * (X9/100)</f>
        <v/>
      </c>
      <c r="AA9" s="16">
        <f>W9</f>
        <v/>
      </c>
      <c r="AB9" s="12" t="n"/>
      <c r="AC9" s="12" t="n"/>
      <c r="AD9" s="12" t="n"/>
      <c r="AE9" s="12" t="n"/>
      <c r="AF9" s="12" t="n"/>
      <c r="AG9" s="12" t="n"/>
      <c r="AH9" s="12" t="n"/>
      <c r="AI9" s="12" t="n"/>
      <c r="AJ9" s="14" t="n"/>
      <c r="AK9" s="15">
        <f>IF(TODAY()&lt;AD9, 0, IF(TODAY()&gt;AE9, AF9, AF9 * (TODAY()-AD9)/(AE9-AD9+1)))</f>
        <v/>
      </c>
      <c r="AL9" s="15">
        <f>AF9 * (AJ9/100)</f>
        <v/>
      </c>
      <c r="AM9" s="16">
        <f>AI9</f>
        <v/>
      </c>
    </row>
    <row r="10">
      <c r="A10" s="11" t="n"/>
      <c r="B10" s="12" t="n"/>
      <c r="C10" s="13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4" t="n"/>
      <c r="M10" s="15">
        <f>IF(TODAY()&lt;F10, 0, IF(TODAY()&gt;G10, H10, H10 * (TODAY()-F10)/(G10-F10+1)))</f>
        <v/>
      </c>
      <c r="N10" s="15">
        <f>H10 * (L10/100)</f>
        <v/>
      </c>
      <c r="O10" s="16">
        <f>K10</f>
        <v/>
      </c>
      <c r="P10" s="12" t="n"/>
      <c r="Q10" s="12" t="n"/>
      <c r="R10" s="12" t="n"/>
      <c r="S10" s="12" t="n"/>
      <c r="T10" s="12" t="n"/>
      <c r="U10" s="12" t="n"/>
      <c r="V10" s="12" t="n"/>
      <c r="W10" s="12" t="n"/>
      <c r="X10" s="14" t="n"/>
      <c r="Y10" s="15">
        <f>IF(TODAY()&lt;R10, 0, IF(TODAY()&gt;S10, T10, T10 * (TODAY()-R10)/(S10-R10+1)))</f>
        <v/>
      </c>
      <c r="Z10" s="15">
        <f>T10 * (X10/100)</f>
        <v/>
      </c>
      <c r="AA10" s="16">
        <f>W10</f>
        <v/>
      </c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4" t="n"/>
      <c r="AK10" s="15">
        <f>IF(TODAY()&lt;AD10, 0, IF(TODAY()&gt;AE10, AF10, AF10 * (TODAY()-AD10)/(AE10-AD10+1)))</f>
        <v/>
      </c>
      <c r="AL10" s="15">
        <f>AF10 * (AJ10/100)</f>
        <v/>
      </c>
      <c r="AM10" s="16">
        <f>AI10</f>
        <v/>
      </c>
    </row>
    <row r="11">
      <c r="A11" s="11" t="n"/>
      <c r="B11" s="12" t="n"/>
      <c r="C11" s="13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4" t="n"/>
      <c r="M11" s="15">
        <f>IF(TODAY()&lt;F11, 0, IF(TODAY()&gt;G11, H11, H11 * (TODAY()-F11)/(G11-F11+1)))</f>
        <v/>
      </c>
      <c r="N11" s="15">
        <f>H11 * (L11/100)</f>
        <v/>
      </c>
      <c r="O11" s="16">
        <f>K11</f>
        <v/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4" t="n"/>
      <c r="Y11" s="15">
        <f>IF(TODAY()&lt;R11, 0, IF(TODAY()&gt;S11, T11, T11 * (TODAY()-R11)/(S11-R11+1)))</f>
        <v/>
      </c>
      <c r="Z11" s="15">
        <f>T11 * (X11/100)</f>
        <v/>
      </c>
      <c r="AA11" s="16">
        <f>W11</f>
        <v/>
      </c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4" t="n"/>
      <c r="AK11" s="15">
        <f>IF(TODAY()&lt;AD11, 0, IF(TODAY()&gt;AE11, AF11, AF11 * (TODAY()-AD11)/(AE11-AD11+1)))</f>
        <v/>
      </c>
      <c r="AL11" s="15">
        <f>AF11 * (AJ11/100)</f>
        <v/>
      </c>
      <c r="AM11" s="16">
        <f>AI11</f>
        <v/>
      </c>
    </row>
    <row r="12">
      <c r="A12" s="11" t="n"/>
      <c r="B12" s="12" t="n"/>
      <c r="C12" s="13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4" t="n"/>
      <c r="M12" s="15">
        <f>IF(TODAY()&lt;F12, 0, IF(TODAY()&gt;G12, H12, H12 * (TODAY()-F12)/(G12-F12+1)))</f>
        <v/>
      </c>
      <c r="N12" s="15">
        <f>H12 * (L12/100)</f>
        <v/>
      </c>
      <c r="O12" s="16">
        <f>K12</f>
        <v/>
      </c>
      <c r="P12" s="12" t="n"/>
      <c r="Q12" s="12" t="n"/>
      <c r="R12" s="12" t="n"/>
      <c r="S12" s="12" t="n"/>
      <c r="T12" s="12" t="n"/>
      <c r="U12" s="12" t="n"/>
      <c r="V12" s="12" t="n"/>
      <c r="W12" s="12" t="n"/>
      <c r="X12" s="14" t="n"/>
      <c r="Y12" s="15">
        <f>IF(TODAY()&lt;R12, 0, IF(TODAY()&gt;S12, T12, T12 * (TODAY()-R12)/(S12-R12+1)))</f>
        <v/>
      </c>
      <c r="Z12" s="15">
        <f>T12 * (X12/100)</f>
        <v/>
      </c>
      <c r="AA12" s="16">
        <f>W12</f>
        <v/>
      </c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4" t="n"/>
      <c r="AK12" s="15">
        <f>IF(TODAY()&lt;AD12, 0, IF(TODAY()&gt;AE12, AF12, AF12 * (TODAY()-AD12)/(AE12-AD12+1)))</f>
        <v/>
      </c>
      <c r="AL12" s="15">
        <f>AF12 * (AJ12/100)</f>
        <v/>
      </c>
      <c r="AM12" s="16">
        <f>AI12</f>
        <v/>
      </c>
    </row>
    <row r="13">
      <c r="A13" s="11" t="n"/>
      <c r="B13" s="12" t="n"/>
      <c r="C13" s="13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4" t="n"/>
      <c r="M13" s="15">
        <f>IF(TODAY()&lt;F13, 0, IF(TODAY()&gt;G13, H13, H13 * (TODAY()-F13)/(G13-F13+1)))</f>
        <v/>
      </c>
      <c r="N13" s="15">
        <f>H13 * (L13/100)</f>
        <v/>
      </c>
      <c r="O13" s="16">
        <f>K13</f>
        <v/>
      </c>
      <c r="P13" s="12" t="n"/>
      <c r="Q13" s="12" t="n"/>
      <c r="R13" s="12" t="n"/>
      <c r="S13" s="12" t="n"/>
      <c r="T13" s="12" t="n"/>
      <c r="U13" s="12" t="n"/>
      <c r="V13" s="12" t="n"/>
      <c r="W13" s="12" t="n"/>
      <c r="X13" s="14" t="n"/>
      <c r="Y13" s="15">
        <f>IF(TODAY()&lt;R13, 0, IF(TODAY()&gt;S13, T13, T13 * (TODAY()-R13)/(S13-R13+1)))</f>
        <v/>
      </c>
      <c r="Z13" s="15">
        <f>T13 * (X13/100)</f>
        <v/>
      </c>
      <c r="AA13" s="16">
        <f>W13</f>
        <v/>
      </c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4" t="n"/>
      <c r="AK13" s="15">
        <f>IF(TODAY()&lt;AD13, 0, IF(TODAY()&gt;AE13, AF13, AF13 * (TODAY()-AD13)/(AE13-AD13+1)))</f>
        <v/>
      </c>
      <c r="AL13" s="15">
        <f>AF13 * (AJ13/100)</f>
        <v/>
      </c>
      <c r="AM13" s="16">
        <f>AI13</f>
        <v/>
      </c>
    </row>
    <row r="14">
      <c r="A14" s="11" t="n"/>
      <c r="B14" s="12" t="n"/>
      <c r="C14" s="13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4" t="n"/>
      <c r="M14" s="15">
        <f>IF(TODAY()&lt;F14, 0, IF(TODAY()&gt;G14, H14, H14 * (TODAY()-F14)/(G14-F14+1)))</f>
        <v/>
      </c>
      <c r="N14" s="15">
        <f>H14 * (L14/100)</f>
        <v/>
      </c>
      <c r="O14" s="16">
        <f>K14</f>
        <v/>
      </c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n"/>
      <c r="Y14" s="15">
        <f>IF(TODAY()&lt;R14, 0, IF(TODAY()&gt;S14, T14, T14 * (TODAY()-R14)/(S14-R14+1)))</f>
        <v/>
      </c>
      <c r="Z14" s="15">
        <f>T14 * (X14/100)</f>
        <v/>
      </c>
      <c r="AA14" s="16">
        <f>W14</f>
        <v/>
      </c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4" t="n"/>
      <c r="AK14" s="15">
        <f>IF(TODAY()&lt;AD14, 0, IF(TODAY()&gt;AE14, AF14, AF14 * (TODAY()-AD14)/(AE14-AD14+1)))</f>
        <v/>
      </c>
      <c r="AL14" s="15">
        <f>AF14 * (AJ14/100)</f>
        <v/>
      </c>
      <c r="AM14" s="16">
        <f>AI14</f>
        <v/>
      </c>
    </row>
    <row r="15">
      <c r="A15" s="11" t="n"/>
      <c r="B15" s="12" t="n"/>
      <c r="C15" s="13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4" t="n"/>
      <c r="M15" s="15">
        <f>IF(TODAY()&lt;F15, 0, IF(TODAY()&gt;G15, H15, H15 * (TODAY()-F15)/(G15-F15+1)))</f>
        <v/>
      </c>
      <c r="N15" s="15">
        <f>H15 * (L15/100)</f>
        <v/>
      </c>
      <c r="O15" s="16">
        <f>K15</f>
        <v/>
      </c>
      <c r="P15" s="12" t="n"/>
      <c r="Q15" s="12" t="n"/>
      <c r="R15" s="12" t="n"/>
      <c r="S15" s="12" t="n"/>
      <c r="T15" s="12" t="n"/>
      <c r="U15" s="12" t="n"/>
      <c r="V15" s="12" t="n"/>
      <c r="W15" s="12" t="n"/>
      <c r="X15" s="14" t="n"/>
      <c r="Y15" s="15">
        <f>IF(TODAY()&lt;R15, 0, IF(TODAY()&gt;S15, T15, T15 * (TODAY()-R15)/(S15-R15+1)))</f>
        <v/>
      </c>
      <c r="Z15" s="15">
        <f>T15 * (X15/100)</f>
        <v/>
      </c>
      <c r="AA15" s="16">
        <f>W15</f>
        <v/>
      </c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4" t="n"/>
      <c r="AK15" s="15">
        <f>IF(TODAY()&lt;AD15, 0, IF(TODAY()&gt;AE15, AF15, AF15 * (TODAY()-AD15)/(AE15-AD15+1)))</f>
        <v/>
      </c>
      <c r="AL15" s="15">
        <f>AF15 * (AJ15/100)</f>
        <v/>
      </c>
      <c r="AM15" s="16">
        <f>AI15</f>
        <v/>
      </c>
    </row>
    <row r="16">
      <c r="A16" s="11" t="n"/>
      <c r="B16" s="12" t="n"/>
      <c r="C16" s="13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4" t="n"/>
      <c r="M16" s="15">
        <f>IF(TODAY()&lt;F16, 0, IF(TODAY()&gt;G16, H16, H16 * (TODAY()-F16)/(G16-F16+1)))</f>
        <v/>
      </c>
      <c r="N16" s="15">
        <f>H16 * (L16/100)</f>
        <v/>
      </c>
      <c r="O16" s="16">
        <f>K16</f>
        <v/>
      </c>
      <c r="P16" s="12" t="n"/>
      <c r="Q16" s="12" t="n"/>
      <c r="R16" s="12" t="n"/>
      <c r="S16" s="12" t="n"/>
      <c r="T16" s="12" t="n"/>
      <c r="U16" s="12" t="n"/>
      <c r="V16" s="12" t="n"/>
      <c r="W16" s="12" t="n"/>
      <c r="X16" s="14" t="n"/>
      <c r="Y16" s="15">
        <f>IF(TODAY()&lt;R16, 0, IF(TODAY()&gt;S16, T16, T16 * (TODAY()-R16)/(S16-R16+1)))</f>
        <v/>
      </c>
      <c r="Z16" s="15">
        <f>T16 * (X16/100)</f>
        <v/>
      </c>
      <c r="AA16" s="16">
        <f>W16</f>
        <v/>
      </c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4" t="n"/>
      <c r="AK16" s="15">
        <f>IF(TODAY()&lt;AD16, 0, IF(TODAY()&gt;AE16, AF16, AF16 * (TODAY()-AD16)/(AE16-AD16+1)))</f>
        <v/>
      </c>
      <c r="AL16" s="15">
        <f>AF16 * (AJ16/100)</f>
        <v/>
      </c>
      <c r="AM16" s="16">
        <f>AI16</f>
        <v/>
      </c>
    </row>
    <row r="17">
      <c r="A17" s="11" t="n"/>
      <c r="B17" s="12" t="n"/>
      <c r="C17" s="13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4" t="n"/>
      <c r="M17" s="15">
        <f>IF(TODAY()&lt;F17, 0, IF(TODAY()&gt;G17, H17, H17 * (TODAY()-F17)/(G17-F17+1)))</f>
        <v/>
      </c>
      <c r="N17" s="15">
        <f>H17 * (L17/100)</f>
        <v/>
      </c>
      <c r="O17" s="16">
        <f>K17</f>
        <v/>
      </c>
      <c r="P17" s="12" t="n"/>
      <c r="Q17" s="12" t="n"/>
      <c r="R17" s="12" t="n"/>
      <c r="S17" s="12" t="n"/>
      <c r="T17" s="12" t="n"/>
      <c r="U17" s="12" t="n"/>
      <c r="V17" s="12" t="n"/>
      <c r="W17" s="12" t="n"/>
      <c r="X17" s="14" t="n"/>
      <c r="Y17" s="15">
        <f>IF(TODAY()&lt;R17, 0, IF(TODAY()&gt;S17, T17, T17 * (TODAY()-R17)/(S17-R17+1)))</f>
        <v/>
      </c>
      <c r="Z17" s="15">
        <f>T17 * (X17/100)</f>
        <v/>
      </c>
      <c r="AA17" s="16">
        <f>W17</f>
        <v/>
      </c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4" t="n"/>
      <c r="AK17" s="15">
        <f>IF(TODAY()&lt;AD17, 0, IF(TODAY()&gt;AE17, AF17, AF17 * (TODAY()-AD17)/(AE17-AD17+1)))</f>
        <v/>
      </c>
      <c r="AL17" s="15">
        <f>AF17 * (AJ17/100)</f>
        <v/>
      </c>
      <c r="AM17" s="16">
        <f>AI17</f>
        <v/>
      </c>
    </row>
    <row r="18">
      <c r="A18" s="11" t="n"/>
      <c r="B18" s="12" t="n"/>
      <c r="C18" s="13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4" t="n"/>
      <c r="M18" s="15">
        <f>IF(TODAY()&lt;F18, 0, IF(TODAY()&gt;G18, H18, H18 * (TODAY()-F18)/(G18-F18+1)))</f>
        <v/>
      </c>
      <c r="N18" s="15">
        <f>H18 * (L18/100)</f>
        <v/>
      </c>
      <c r="O18" s="16">
        <f>K18</f>
        <v/>
      </c>
      <c r="P18" s="12" t="n"/>
      <c r="Q18" s="12" t="n"/>
      <c r="R18" s="12" t="n"/>
      <c r="S18" s="12" t="n"/>
      <c r="T18" s="12" t="n"/>
      <c r="U18" s="12" t="n"/>
      <c r="V18" s="12" t="n"/>
      <c r="W18" s="12" t="n"/>
      <c r="X18" s="14" t="n"/>
      <c r="Y18" s="15">
        <f>IF(TODAY()&lt;R18, 0, IF(TODAY()&gt;S18, T18, T18 * (TODAY()-R18)/(S18-R18+1)))</f>
        <v/>
      </c>
      <c r="Z18" s="15">
        <f>T18 * (X18/100)</f>
        <v/>
      </c>
      <c r="AA18" s="16">
        <f>W18</f>
        <v/>
      </c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4" t="n"/>
      <c r="AK18" s="15">
        <f>IF(TODAY()&lt;AD18, 0, IF(TODAY()&gt;AE18, AF18, AF18 * (TODAY()-AD18)/(AE18-AD18+1)))</f>
        <v/>
      </c>
      <c r="AL18" s="15">
        <f>AF18 * (AJ18/100)</f>
        <v/>
      </c>
      <c r="AM18" s="16">
        <f>AI18</f>
        <v/>
      </c>
    </row>
    <row r="19">
      <c r="A19" s="11" t="n"/>
      <c r="B19" s="12" t="n"/>
      <c r="C19" s="13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4" t="n"/>
      <c r="M19" s="15">
        <f>IF(TODAY()&lt;F19, 0, IF(TODAY()&gt;G19, H19, H19 * (TODAY()-F19)/(G19-F19+1)))</f>
        <v/>
      </c>
      <c r="N19" s="15">
        <f>H19 * (L19/100)</f>
        <v/>
      </c>
      <c r="O19" s="16">
        <f>K19</f>
        <v/>
      </c>
      <c r="P19" s="12" t="n"/>
      <c r="Q19" s="12" t="n"/>
      <c r="R19" s="12" t="n"/>
      <c r="S19" s="12" t="n"/>
      <c r="T19" s="12" t="n"/>
      <c r="U19" s="12" t="n"/>
      <c r="V19" s="12" t="n"/>
      <c r="W19" s="12" t="n"/>
      <c r="X19" s="14" t="n"/>
      <c r="Y19" s="15">
        <f>IF(TODAY()&lt;R19, 0, IF(TODAY()&gt;S19, T19, T19 * (TODAY()-R19)/(S19-R19+1)))</f>
        <v/>
      </c>
      <c r="Z19" s="15">
        <f>T19 * (X19/100)</f>
        <v/>
      </c>
      <c r="AA19" s="16">
        <f>W19</f>
        <v/>
      </c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4" t="n"/>
      <c r="AK19" s="15">
        <f>IF(TODAY()&lt;AD19, 0, IF(TODAY()&gt;AE19, AF19, AF19 * (TODAY()-AD19)/(AE19-AD19+1)))</f>
        <v/>
      </c>
      <c r="AL19" s="15">
        <f>AF19 * (AJ19/100)</f>
        <v/>
      </c>
      <c r="AM19" s="16">
        <f>AI19</f>
        <v/>
      </c>
    </row>
    <row r="20">
      <c r="A20" s="11" t="n"/>
      <c r="B20" s="12" t="n"/>
      <c r="C20" s="13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4" t="n"/>
      <c r="M20" s="15">
        <f>IF(TODAY()&lt;F20, 0, IF(TODAY()&gt;G20, H20, H20 * (TODAY()-F20)/(G20-F20+1)))</f>
        <v/>
      </c>
      <c r="N20" s="15">
        <f>H20 * (L20/100)</f>
        <v/>
      </c>
      <c r="O20" s="16">
        <f>K20</f>
        <v/>
      </c>
      <c r="P20" s="12" t="n"/>
      <c r="Q20" s="12" t="n"/>
      <c r="R20" s="12" t="n"/>
      <c r="S20" s="12" t="n"/>
      <c r="T20" s="12" t="n"/>
      <c r="U20" s="12" t="n"/>
      <c r="V20" s="12" t="n"/>
      <c r="W20" s="12" t="n"/>
      <c r="X20" s="14" t="n"/>
      <c r="Y20" s="15">
        <f>IF(TODAY()&lt;R20, 0, IF(TODAY()&gt;S20, T20, T20 * (TODAY()-R20)/(S20-R20+1)))</f>
        <v/>
      </c>
      <c r="Z20" s="15">
        <f>T20 * (X20/100)</f>
        <v/>
      </c>
      <c r="AA20" s="16">
        <f>W20</f>
        <v/>
      </c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4" t="n"/>
      <c r="AK20" s="15">
        <f>IF(TODAY()&lt;AD20, 0, IF(TODAY()&gt;AE20, AF20, AF20 * (TODAY()-AD20)/(AE20-AD20+1)))</f>
        <v/>
      </c>
      <c r="AL20" s="15">
        <f>AF20 * (AJ20/100)</f>
        <v/>
      </c>
      <c r="AM20" s="16">
        <f>AI20</f>
        <v/>
      </c>
    </row>
    <row r="21">
      <c r="A21" s="11" t="n"/>
      <c r="B21" s="12" t="n"/>
      <c r="C21" s="13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4" t="n"/>
      <c r="M21" s="15">
        <f>IF(TODAY()&lt;F21, 0, IF(TODAY()&gt;G21, H21, H21 * (TODAY()-F21)/(G21-F21+1)))</f>
        <v/>
      </c>
      <c r="N21" s="15">
        <f>H21 * (L21/100)</f>
        <v/>
      </c>
      <c r="O21" s="16">
        <f>K21</f>
        <v/>
      </c>
      <c r="P21" s="12" t="n"/>
      <c r="Q21" s="12" t="n"/>
      <c r="R21" s="12" t="n"/>
      <c r="S21" s="12" t="n"/>
      <c r="T21" s="12" t="n"/>
      <c r="U21" s="12" t="n"/>
      <c r="V21" s="12" t="n"/>
      <c r="W21" s="12" t="n"/>
      <c r="X21" s="14" t="n"/>
      <c r="Y21" s="15">
        <f>IF(TODAY()&lt;R21, 0, IF(TODAY()&gt;S21, T21, T21 * (TODAY()-R21)/(S21-R21+1)))</f>
        <v/>
      </c>
      <c r="Z21" s="15">
        <f>T21 * (X21/100)</f>
        <v/>
      </c>
      <c r="AA21" s="16">
        <f>W21</f>
        <v/>
      </c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4" t="n"/>
      <c r="AK21" s="15">
        <f>IF(TODAY()&lt;AD21, 0, IF(TODAY()&gt;AE21, AF21, AF21 * (TODAY()-AD21)/(AE21-AD21+1)))</f>
        <v/>
      </c>
      <c r="AL21" s="15">
        <f>AF21 * (AJ21/100)</f>
        <v/>
      </c>
      <c r="AM21" s="16">
        <f>AI21</f>
        <v/>
      </c>
    </row>
    <row r="22">
      <c r="A22" s="11" t="n"/>
      <c r="B22" s="12" t="n"/>
      <c r="C22" s="13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4" t="n"/>
      <c r="M22" s="15">
        <f>IF(TODAY()&lt;F22, 0, IF(TODAY()&gt;G22, H22, H22 * (TODAY()-F22)/(G22-F22+1)))</f>
        <v/>
      </c>
      <c r="N22" s="15">
        <f>H22 * (L22/100)</f>
        <v/>
      </c>
      <c r="O22" s="16">
        <f>K22</f>
        <v/>
      </c>
      <c r="P22" s="12" t="n"/>
      <c r="Q22" s="12" t="n"/>
      <c r="R22" s="12" t="n"/>
      <c r="S22" s="12" t="n"/>
      <c r="T22" s="12" t="n"/>
      <c r="U22" s="12" t="n"/>
      <c r="V22" s="12" t="n"/>
      <c r="W22" s="12" t="n"/>
      <c r="X22" s="14" t="n"/>
      <c r="Y22" s="15">
        <f>IF(TODAY()&lt;R22, 0, IF(TODAY()&gt;S22, T22, T22 * (TODAY()-R22)/(S22-R22+1)))</f>
        <v/>
      </c>
      <c r="Z22" s="15">
        <f>T22 * (X22/100)</f>
        <v/>
      </c>
      <c r="AA22" s="16">
        <f>W22</f>
        <v/>
      </c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4" t="n"/>
      <c r="AK22" s="15">
        <f>IF(TODAY()&lt;AD22, 0, IF(TODAY()&gt;AE22, AF22, AF22 * (TODAY()-AD22)/(AE22-AD22+1)))</f>
        <v/>
      </c>
      <c r="AL22" s="15">
        <f>AF22 * (AJ22/100)</f>
        <v/>
      </c>
      <c r="AM22" s="16">
        <f>AI22</f>
        <v/>
      </c>
    </row>
    <row r="23">
      <c r="A23" s="11" t="n"/>
      <c r="B23" s="12" t="n"/>
      <c r="C23" s="13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4" t="n"/>
      <c r="M23" s="15">
        <f>IF(TODAY()&lt;F23, 0, IF(TODAY()&gt;G23, H23, H23 * (TODAY()-F23)/(G23-F23+1)))</f>
        <v/>
      </c>
      <c r="N23" s="15">
        <f>H23 * (L23/100)</f>
        <v/>
      </c>
      <c r="O23" s="16">
        <f>K23</f>
        <v/>
      </c>
      <c r="P23" s="12" t="n"/>
      <c r="Q23" s="12" t="n"/>
      <c r="R23" s="12" t="n"/>
      <c r="S23" s="12" t="n"/>
      <c r="T23" s="12" t="n"/>
      <c r="U23" s="12" t="n"/>
      <c r="V23" s="12" t="n"/>
      <c r="W23" s="12" t="n"/>
      <c r="X23" s="14" t="n"/>
      <c r="Y23" s="15">
        <f>IF(TODAY()&lt;R23, 0, IF(TODAY()&gt;S23, T23, T23 * (TODAY()-R23)/(S23-R23+1)))</f>
        <v/>
      </c>
      <c r="Z23" s="15">
        <f>T23 * (X23/100)</f>
        <v/>
      </c>
      <c r="AA23" s="16">
        <f>W23</f>
        <v/>
      </c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4" t="n"/>
      <c r="AK23" s="15">
        <f>IF(TODAY()&lt;AD23, 0, IF(TODAY()&gt;AE23, AF23, AF23 * (TODAY()-AD23)/(AE23-AD23+1)))</f>
        <v/>
      </c>
      <c r="AL23" s="15">
        <f>AF23 * (AJ23/100)</f>
        <v/>
      </c>
      <c r="AM23" s="16">
        <f>AI23</f>
        <v/>
      </c>
    </row>
    <row r="24">
      <c r="A24" s="11" t="n"/>
      <c r="B24" s="12" t="n"/>
      <c r="C24" s="13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4" t="n"/>
      <c r="M24" s="15">
        <f>IF(TODAY()&lt;F24, 0, IF(TODAY()&gt;G24, H24, H24 * (TODAY()-F24)/(G24-F24+1)))</f>
        <v/>
      </c>
      <c r="N24" s="15">
        <f>H24 * (L24/100)</f>
        <v/>
      </c>
      <c r="O24" s="16">
        <f>K24</f>
        <v/>
      </c>
      <c r="P24" s="12" t="n"/>
      <c r="Q24" s="12" t="n"/>
      <c r="R24" s="12" t="n"/>
      <c r="S24" s="12" t="n"/>
      <c r="T24" s="12" t="n"/>
      <c r="U24" s="12" t="n"/>
      <c r="V24" s="12" t="n"/>
      <c r="W24" s="12" t="n"/>
      <c r="X24" s="14" t="n"/>
      <c r="Y24" s="15">
        <f>IF(TODAY()&lt;R24, 0, IF(TODAY()&gt;S24, T24, T24 * (TODAY()-R24)/(S24-R24+1)))</f>
        <v/>
      </c>
      <c r="Z24" s="15">
        <f>T24 * (X24/100)</f>
        <v/>
      </c>
      <c r="AA24" s="16">
        <f>W24</f>
        <v/>
      </c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4" t="n"/>
      <c r="AK24" s="15">
        <f>IF(TODAY()&lt;AD24, 0, IF(TODAY()&gt;AE24, AF24, AF24 * (TODAY()-AD24)/(AE24-AD24+1)))</f>
        <v/>
      </c>
      <c r="AL24" s="15">
        <f>AF24 * (AJ24/100)</f>
        <v/>
      </c>
      <c r="AM24" s="16">
        <f>AI24</f>
        <v/>
      </c>
    </row>
    <row r="25">
      <c r="A25" s="11" t="n"/>
      <c r="B25" s="12" t="n"/>
      <c r="C25" s="13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4" t="n"/>
      <c r="M25" s="15">
        <f>IF(TODAY()&lt;F25, 0, IF(TODAY()&gt;G25, H25, H25 * (TODAY()-F25)/(G25-F25+1)))</f>
        <v/>
      </c>
      <c r="N25" s="15">
        <f>H25 * (L25/100)</f>
        <v/>
      </c>
      <c r="O25" s="16">
        <f>K25</f>
        <v/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4" t="n"/>
      <c r="Y25" s="15">
        <f>IF(TODAY()&lt;R25, 0, IF(TODAY()&gt;S25, T25, T25 * (TODAY()-R25)/(S25-R25+1)))</f>
        <v/>
      </c>
      <c r="Z25" s="15">
        <f>T25 * (X25/100)</f>
        <v/>
      </c>
      <c r="AA25" s="16">
        <f>W25</f>
        <v/>
      </c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4" t="n"/>
      <c r="AK25" s="15">
        <f>IF(TODAY()&lt;AD25, 0, IF(TODAY()&gt;AE25, AF25, AF25 * (TODAY()-AD25)/(AE25-AD25+1)))</f>
        <v/>
      </c>
      <c r="AL25" s="15">
        <f>AF25 * (AJ25/100)</f>
        <v/>
      </c>
      <c r="AM25" s="16">
        <f>AI25</f>
        <v/>
      </c>
    </row>
    <row r="26">
      <c r="A26" s="11" t="n"/>
      <c r="B26" s="12" t="n"/>
      <c r="C26" s="13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4" t="n"/>
      <c r="M26" s="15">
        <f>IF(TODAY()&lt;F26, 0, IF(TODAY()&gt;G26, H26, H26 * (TODAY()-F26)/(G26-F26+1)))</f>
        <v/>
      </c>
      <c r="N26" s="15">
        <f>H26 * (L26/100)</f>
        <v/>
      </c>
      <c r="O26" s="16">
        <f>K26</f>
        <v/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4" t="n"/>
      <c r="Y26" s="15">
        <f>IF(TODAY()&lt;R26, 0, IF(TODAY()&gt;S26, T26, T26 * (TODAY()-R26)/(S26-R26+1)))</f>
        <v/>
      </c>
      <c r="Z26" s="15">
        <f>T26 * (X26/100)</f>
        <v/>
      </c>
      <c r="AA26" s="16">
        <f>W26</f>
        <v/>
      </c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4" t="n"/>
      <c r="AK26" s="15">
        <f>IF(TODAY()&lt;AD26, 0, IF(TODAY()&gt;AE26, AF26, AF26 * (TODAY()-AD26)/(AE26-AD26+1)))</f>
        <v/>
      </c>
      <c r="AL26" s="15">
        <f>AF26 * (AJ26/100)</f>
        <v/>
      </c>
      <c r="AM26" s="16">
        <f>AI26</f>
        <v/>
      </c>
    </row>
    <row r="27">
      <c r="A27" s="11" t="n"/>
      <c r="B27" s="12" t="n"/>
      <c r="C27" s="13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4" t="n"/>
      <c r="M27" s="15">
        <f>IF(TODAY()&lt;F27, 0, IF(TODAY()&gt;G27, H27, H27 * (TODAY()-F27)/(G27-F27+1)))</f>
        <v/>
      </c>
      <c r="N27" s="15">
        <f>H27 * (L27/100)</f>
        <v/>
      </c>
      <c r="O27" s="16">
        <f>K27</f>
        <v/>
      </c>
      <c r="P27" s="12" t="n"/>
      <c r="Q27" s="12" t="n"/>
      <c r="R27" s="12" t="n"/>
      <c r="S27" s="12" t="n"/>
      <c r="T27" s="12" t="n"/>
      <c r="U27" s="12" t="n"/>
      <c r="V27" s="12" t="n"/>
      <c r="W27" s="12" t="n"/>
      <c r="X27" s="14" t="n"/>
      <c r="Y27" s="15">
        <f>IF(TODAY()&lt;R27, 0, IF(TODAY()&gt;S27, T27, T27 * (TODAY()-R27)/(S27-R27+1)))</f>
        <v/>
      </c>
      <c r="Z27" s="15">
        <f>T27 * (X27/100)</f>
        <v/>
      </c>
      <c r="AA27" s="16">
        <f>W27</f>
        <v/>
      </c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4" t="n"/>
      <c r="AK27" s="15">
        <f>IF(TODAY()&lt;AD27, 0, IF(TODAY()&gt;AE27, AF27, AF27 * (TODAY()-AD27)/(AE27-AD27+1)))</f>
        <v/>
      </c>
      <c r="AL27" s="15">
        <f>AF27 * (AJ27/100)</f>
        <v/>
      </c>
      <c r="AM27" s="16">
        <f>AI27</f>
        <v/>
      </c>
    </row>
    <row r="28">
      <c r="A28" s="11" t="n"/>
      <c r="B28" s="12" t="n"/>
      <c r="C28" s="13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4" t="n"/>
      <c r="M28" s="15">
        <f>IF(TODAY()&lt;F28, 0, IF(TODAY()&gt;G28, H28, H28 * (TODAY()-F28)/(G28-F28+1)))</f>
        <v/>
      </c>
      <c r="N28" s="15">
        <f>H28 * (L28/100)</f>
        <v/>
      </c>
      <c r="O28" s="16">
        <f>K28</f>
        <v/>
      </c>
      <c r="P28" s="12" t="n"/>
      <c r="Q28" s="12" t="n"/>
      <c r="R28" s="12" t="n"/>
      <c r="S28" s="12" t="n"/>
      <c r="T28" s="12" t="n"/>
      <c r="U28" s="12" t="n"/>
      <c r="V28" s="12" t="n"/>
      <c r="W28" s="12" t="n"/>
      <c r="X28" s="14" t="n"/>
      <c r="Y28" s="15">
        <f>IF(TODAY()&lt;R28, 0, IF(TODAY()&gt;S28, T28, T28 * (TODAY()-R28)/(S28-R28+1)))</f>
        <v/>
      </c>
      <c r="Z28" s="15">
        <f>T28 * (X28/100)</f>
        <v/>
      </c>
      <c r="AA28" s="16">
        <f>W28</f>
        <v/>
      </c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4" t="n"/>
      <c r="AK28" s="15">
        <f>IF(TODAY()&lt;AD28, 0, IF(TODAY()&gt;AE28, AF28, AF28 * (TODAY()-AD28)/(AE28-AD28+1)))</f>
        <v/>
      </c>
      <c r="AL28" s="15">
        <f>AF28 * (AJ28/100)</f>
        <v/>
      </c>
      <c r="AM28" s="16">
        <f>AI28</f>
        <v/>
      </c>
    </row>
    <row r="29">
      <c r="A29" s="11" t="n"/>
      <c r="B29" s="12" t="n"/>
      <c r="C29" s="13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4" t="n"/>
      <c r="M29" s="15">
        <f>IF(TODAY()&lt;F29, 0, IF(TODAY()&gt;G29, H29, H29 * (TODAY()-F29)/(G29-F29+1)))</f>
        <v/>
      </c>
      <c r="N29" s="15">
        <f>H29 * (L29/100)</f>
        <v/>
      </c>
      <c r="O29" s="16">
        <f>K29</f>
        <v/>
      </c>
      <c r="P29" s="12" t="n"/>
      <c r="Q29" s="12" t="n"/>
      <c r="R29" s="12" t="n"/>
      <c r="S29" s="12" t="n"/>
      <c r="T29" s="12" t="n"/>
      <c r="U29" s="12" t="n"/>
      <c r="V29" s="12" t="n"/>
      <c r="W29" s="12" t="n"/>
      <c r="X29" s="14" t="n"/>
      <c r="Y29" s="15">
        <f>IF(TODAY()&lt;R29, 0, IF(TODAY()&gt;S29, T29, T29 * (TODAY()-R29)/(S29-R29+1)))</f>
        <v/>
      </c>
      <c r="Z29" s="15">
        <f>T29 * (X29/100)</f>
        <v/>
      </c>
      <c r="AA29" s="16">
        <f>W29</f>
        <v/>
      </c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4" t="n"/>
      <c r="AK29" s="15">
        <f>IF(TODAY()&lt;AD29, 0, IF(TODAY()&gt;AE29, AF29, AF29 * (TODAY()-AD29)/(AE29-AD29+1)))</f>
        <v/>
      </c>
      <c r="AL29" s="15">
        <f>AF29 * (AJ29/100)</f>
        <v/>
      </c>
      <c r="AM29" s="16">
        <f>AI29</f>
        <v/>
      </c>
    </row>
    <row r="30">
      <c r="A30" s="11" t="n"/>
      <c r="B30" s="12" t="n"/>
      <c r="C30" s="13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4" t="n"/>
      <c r="M30" s="15">
        <f>IF(TODAY()&lt;F30, 0, IF(TODAY()&gt;G30, H30, H30 * (TODAY()-F30)/(G30-F30+1)))</f>
        <v/>
      </c>
      <c r="N30" s="15">
        <f>H30 * (L30/100)</f>
        <v/>
      </c>
      <c r="O30" s="16">
        <f>K30</f>
        <v/>
      </c>
      <c r="P30" s="12" t="n"/>
      <c r="Q30" s="12" t="n"/>
      <c r="R30" s="12" t="n"/>
      <c r="S30" s="12" t="n"/>
      <c r="T30" s="12" t="n"/>
      <c r="U30" s="12" t="n"/>
      <c r="V30" s="12" t="n"/>
      <c r="W30" s="12" t="n"/>
      <c r="X30" s="14" t="n"/>
      <c r="Y30" s="15">
        <f>IF(TODAY()&lt;R30, 0, IF(TODAY()&gt;S30, T30, T30 * (TODAY()-R30)/(S30-R30+1)))</f>
        <v/>
      </c>
      <c r="Z30" s="15">
        <f>T30 * (X30/100)</f>
        <v/>
      </c>
      <c r="AA30" s="16">
        <f>W30</f>
        <v/>
      </c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4" t="n"/>
      <c r="AK30" s="15">
        <f>IF(TODAY()&lt;AD30, 0, IF(TODAY()&gt;AE30, AF30, AF30 * (TODAY()-AD30)/(AE30-AD30+1)))</f>
        <v/>
      </c>
      <c r="AL30" s="15">
        <f>AF30 * (AJ30/100)</f>
        <v/>
      </c>
      <c r="AM30" s="16">
        <f>AI30</f>
        <v/>
      </c>
    </row>
    <row r="31">
      <c r="A31" s="11" t="n"/>
      <c r="B31" s="12" t="n"/>
      <c r="C31" s="13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4" t="n"/>
      <c r="M31" s="15">
        <f>IF(TODAY()&lt;F31, 0, IF(TODAY()&gt;G31, H31, H31 * (TODAY()-F31)/(G31-F31+1)))</f>
        <v/>
      </c>
      <c r="N31" s="15">
        <f>H31 * (L31/100)</f>
        <v/>
      </c>
      <c r="O31" s="16">
        <f>K31</f>
        <v/>
      </c>
      <c r="P31" s="12" t="n"/>
      <c r="Q31" s="12" t="n"/>
      <c r="R31" s="12" t="n"/>
      <c r="S31" s="12" t="n"/>
      <c r="T31" s="12" t="n"/>
      <c r="U31" s="12" t="n"/>
      <c r="V31" s="12" t="n"/>
      <c r="W31" s="12" t="n"/>
      <c r="X31" s="14" t="n"/>
      <c r="Y31" s="15">
        <f>IF(TODAY()&lt;R31, 0, IF(TODAY()&gt;S31, T31, T31 * (TODAY()-R31)/(S31-R31+1)))</f>
        <v/>
      </c>
      <c r="Z31" s="15">
        <f>T31 * (X31/100)</f>
        <v/>
      </c>
      <c r="AA31" s="16">
        <f>W31</f>
        <v/>
      </c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4" t="n"/>
      <c r="AK31" s="15">
        <f>IF(TODAY()&lt;AD31, 0, IF(TODAY()&gt;AE31, AF31, AF31 * (TODAY()-AD31)/(AE31-AD31+1)))</f>
        <v/>
      </c>
      <c r="AL31" s="15">
        <f>AF31 * (AJ31/100)</f>
        <v/>
      </c>
      <c r="AM31" s="16">
        <f>AI31</f>
        <v/>
      </c>
    </row>
    <row r="32">
      <c r="A32" s="11" t="n"/>
      <c r="B32" s="12" t="n"/>
      <c r="C32" s="13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4" t="n"/>
      <c r="M32" s="15">
        <f>IF(TODAY()&lt;F32, 0, IF(TODAY()&gt;G32, H32, H32 * (TODAY()-F32)/(G32-F32+1)))</f>
        <v/>
      </c>
      <c r="N32" s="15">
        <f>H32 * (L32/100)</f>
        <v/>
      </c>
      <c r="O32" s="16">
        <f>K32</f>
        <v/>
      </c>
      <c r="P32" s="12" t="n"/>
      <c r="Q32" s="12" t="n"/>
      <c r="R32" s="12" t="n"/>
      <c r="S32" s="12" t="n"/>
      <c r="T32" s="12" t="n"/>
      <c r="U32" s="12" t="n"/>
      <c r="V32" s="12" t="n"/>
      <c r="W32" s="12" t="n"/>
      <c r="X32" s="14" t="n"/>
      <c r="Y32" s="15">
        <f>IF(TODAY()&lt;R32, 0, IF(TODAY()&gt;S32, T32, T32 * (TODAY()-R32)/(S32-R32+1)))</f>
        <v/>
      </c>
      <c r="Z32" s="15">
        <f>T32 * (X32/100)</f>
        <v/>
      </c>
      <c r="AA32" s="16">
        <f>W32</f>
        <v/>
      </c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4" t="n"/>
      <c r="AK32" s="15">
        <f>IF(TODAY()&lt;AD32, 0, IF(TODAY()&gt;AE32, AF32, AF32 * (TODAY()-AD32)/(AE32-AD32+1)))</f>
        <v/>
      </c>
      <c r="AL32" s="15">
        <f>AF32 * (AJ32/100)</f>
        <v/>
      </c>
      <c r="AM32" s="16">
        <f>AI32</f>
        <v/>
      </c>
    </row>
    <row r="33">
      <c r="A33" s="11" t="n"/>
      <c r="B33" s="12" t="n"/>
      <c r="C33" s="13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4" t="n"/>
      <c r="M33" s="15">
        <f>IF(TODAY()&lt;F33, 0, IF(TODAY()&gt;G33, H33, H33 * (TODAY()-F33)/(G33-F33+1)))</f>
        <v/>
      </c>
      <c r="N33" s="15">
        <f>H33 * (L33/100)</f>
        <v/>
      </c>
      <c r="O33" s="16">
        <f>K33</f>
        <v/>
      </c>
      <c r="P33" s="12" t="n"/>
      <c r="Q33" s="12" t="n"/>
      <c r="R33" s="12" t="n"/>
      <c r="S33" s="12" t="n"/>
      <c r="T33" s="12" t="n"/>
      <c r="U33" s="12" t="n"/>
      <c r="V33" s="12" t="n"/>
      <c r="W33" s="12" t="n"/>
      <c r="X33" s="14" t="n"/>
      <c r="Y33" s="15">
        <f>IF(TODAY()&lt;R33, 0, IF(TODAY()&gt;S33, T33, T33 * (TODAY()-R33)/(S33-R33+1)))</f>
        <v/>
      </c>
      <c r="Z33" s="15">
        <f>T33 * (X33/100)</f>
        <v/>
      </c>
      <c r="AA33" s="16">
        <f>W33</f>
        <v/>
      </c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4" t="n"/>
      <c r="AK33" s="15">
        <f>IF(TODAY()&lt;AD33, 0, IF(TODAY()&gt;AE33, AF33, AF33 * (TODAY()-AD33)/(AE33-AD33+1)))</f>
        <v/>
      </c>
      <c r="AL33" s="15">
        <f>AF33 * (AJ33/100)</f>
        <v/>
      </c>
      <c r="AM33" s="16">
        <f>AI33</f>
        <v/>
      </c>
    </row>
    <row r="34">
      <c r="A34" s="11" t="n"/>
      <c r="B34" s="12" t="n"/>
      <c r="C34" s="13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4" t="n"/>
      <c r="M34" s="15">
        <f>IF(TODAY()&lt;F34, 0, IF(TODAY()&gt;G34, H34, H34 * (TODAY()-F34)/(G34-F34+1)))</f>
        <v/>
      </c>
      <c r="N34" s="15">
        <f>H34 * (L34/100)</f>
        <v/>
      </c>
      <c r="O34" s="16">
        <f>K34</f>
        <v/>
      </c>
      <c r="P34" s="12" t="n"/>
      <c r="Q34" s="12" t="n"/>
      <c r="R34" s="12" t="n"/>
      <c r="S34" s="12" t="n"/>
      <c r="T34" s="12" t="n"/>
      <c r="U34" s="12" t="n"/>
      <c r="V34" s="12" t="n"/>
      <c r="W34" s="12" t="n"/>
      <c r="X34" s="14" t="n"/>
      <c r="Y34" s="15">
        <f>IF(TODAY()&lt;R34, 0, IF(TODAY()&gt;S34, T34, T34 * (TODAY()-R34)/(S34-R34+1)))</f>
        <v/>
      </c>
      <c r="Z34" s="15">
        <f>T34 * (X34/100)</f>
        <v/>
      </c>
      <c r="AA34" s="16">
        <f>W34</f>
        <v/>
      </c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4" t="n"/>
      <c r="AK34" s="15">
        <f>IF(TODAY()&lt;AD34, 0, IF(TODAY()&gt;AE34, AF34, AF34 * (TODAY()-AD34)/(AE34-AD34+1)))</f>
        <v/>
      </c>
      <c r="AL34" s="15">
        <f>AF34 * (AJ34/100)</f>
        <v/>
      </c>
      <c r="AM34" s="16">
        <f>AI34</f>
        <v/>
      </c>
    </row>
    <row r="35">
      <c r="A35" s="11" t="n"/>
      <c r="B35" s="12" t="n"/>
      <c r="C35" s="13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4" t="n"/>
      <c r="M35" s="15">
        <f>IF(TODAY()&lt;F35, 0, IF(TODAY()&gt;G35, H35, H35 * (TODAY()-F35)/(G35-F35+1)))</f>
        <v/>
      </c>
      <c r="N35" s="15">
        <f>H35 * (L35/100)</f>
        <v/>
      </c>
      <c r="O35" s="16">
        <f>K35</f>
        <v/>
      </c>
      <c r="P35" s="12" t="n"/>
      <c r="Q35" s="12" t="n"/>
      <c r="R35" s="12" t="n"/>
      <c r="S35" s="12" t="n"/>
      <c r="T35" s="12" t="n"/>
      <c r="U35" s="12" t="n"/>
      <c r="V35" s="12" t="n"/>
      <c r="W35" s="12" t="n"/>
      <c r="X35" s="14" t="n"/>
      <c r="Y35" s="15">
        <f>IF(TODAY()&lt;R35, 0, IF(TODAY()&gt;S35, T35, T35 * (TODAY()-R35)/(S35-R35+1)))</f>
        <v/>
      </c>
      <c r="Z35" s="15">
        <f>T35 * (X35/100)</f>
        <v/>
      </c>
      <c r="AA35" s="16">
        <f>W35</f>
        <v/>
      </c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4" t="n"/>
      <c r="AK35" s="15">
        <f>IF(TODAY()&lt;AD35, 0, IF(TODAY()&gt;AE35, AF35, AF35 * (TODAY()-AD35)/(AE35-AD35+1)))</f>
        <v/>
      </c>
      <c r="AL35" s="15">
        <f>AF35 * (AJ35/100)</f>
        <v/>
      </c>
      <c r="AM35" s="16">
        <f>AI35</f>
        <v/>
      </c>
    </row>
    <row r="36">
      <c r="A36" s="11" t="n"/>
      <c r="B36" s="12" t="n"/>
      <c r="C36" s="13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4" t="n"/>
      <c r="M36" s="15">
        <f>IF(TODAY()&lt;F36, 0, IF(TODAY()&gt;G36, H36, H36 * (TODAY()-F36)/(G36-F36+1)))</f>
        <v/>
      </c>
      <c r="N36" s="15">
        <f>H36 * (L36/100)</f>
        <v/>
      </c>
      <c r="O36" s="16">
        <f>K36</f>
        <v/>
      </c>
      <c r="P36" s="12" t="n"/>
      <c r="Q36" s="12" t="n"/>
      <c r="R36" s="12" t="n"/>
      <c r="S36" s="12" t="n"/>
      <c r="T36" s="12" t="n"/>
      <c r="U36" s="12" t="n"/>
      <c r="V36" s="12" t="n"/>
      <c r="W36" s="12" t="n"/>
      <c r="X36" s="14" t="n"/>
      <c r="Y36" s="15">
        <f>IF(TODAY()&lt;R36, 0, IF(TODAY()&gt;S36, T36, T36 * (TODAY()-R36)/(S36-R36+1)))</f>
        <v/>
      </c>
      <c r="Z36" s="15">
        <f>T36 * (X36/100)</f>
        <v/>
      </c>
      <c r="AA36" s="16">
        <f>W36</f>
        <v/>
      </c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4" t="n"/>
      <c r="AK36" s="15">
        <f>IF(TODAY()&lt;AD36, 0, IF(TODAY()&gt;AE36, AF36, AF36 * (TODAY()-AD36)/(AE36-AD36+1)))</f>
        <v/>
      </c>
      <c r="AL36" s="15">
        <f>AF36 * (AJ36/100)</f>
        <v/>
      </c>
      <c r="AM36" s="16">
        <f>AI36</f>
        <v/>
      </c>
    </row>
    <row r="37">
      <c r="A37" s="11" t="n"/>
      <c r="B37" s="12" t="n"/>
      <c r="C37" s="13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4" t="n"/>
      <c r="M37" s="15">
        <f>IF(TODAY()&lt;F37, 0, IF(TODAY()&gt;G37, H37, H37 * (TODAY()-F37)/(G37-F37+1)))</f>
        <v/>
      </c>
      <c r="N37" s="15">
        <f>H37 * (L37/100)</f>
        <v/>
      </c>
      <c r="O37" s="16">
        <f>K37</f>
        <v/>
      </c>
      <c r="P37" s="12" t="n"/>
      <c r="Q37" s="12" t="n"/>
      <c r="R37" s="12" t="n"/>
      <c r="S37" s="12" t="n"/>
      <c r="T37" s="12" t="n"/>
      <c r="U37" s="12" t="n"/>
      <c r="V37" s="12" t="n"/>
      <c r="W37" s="12" t="n"/>
      <c r="X37" s="14" t="n"/>
      <c r="Y37" s="15">
        <f>IF(TODAY()&lt;R37, 0, IF(TODAY()&gt;S37, T37, T37 * (TODAY()-R37)/(S37-R37+1)))</f>
        <v/>
      </c>
      <c r="Z37" s="15">
        <f>T37 * (X37/100)</f>
        <v/>
      </c>
      <c r="AA37" s="16">
        <f>W37</f>
        <v/>
      </c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4" t="n"/>
      <c r="AK37" s="15">
        <f>IF(TODAY()&lt;AD37, 0, IF(TODAY()&gt;AE37, AF37, AF37 * (TODAY()-AD37)/(AE37-AD37+1)))</f>
        <v/>
      </c>
      <c r="AL37" s="15">
        <f>AF37 * (AJ37/100)</f>
        <v/>
      </c>
      <c r="AM37" s="16">
        <f>AI37</f>
        <v/>
      </c>
    </row>
    <row r="38">
      <c r="A38" s="11" t="n"/>
      <c r="B38" s="12" t="n"/>
      <c r="C38" s="13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4" t="n"/>
      <c r="M38" s="15">
        <f>IF(TODAY()&lt;F38, 0, IF(TODAY()&gt;G38, H38, H38 * (TODAY()-F38)/(G38-F38+1)))</f>
        <v/>
      </c>
      <c r="N38" s="15">
        <f>H38 * (L38/100)</f>
        <v/>
      </c>
      <c r="O38" s="16">
        <f>K38</f>
        <v/>
      </c>
      <c r="P38" s="12" t="n"/>
      <c r="Q38" s="12" t="n"/>
      <c r="R38" s="12" t="n"/>
      <c r="S38" s="12" t="n"/>
      <c r="T38" s="12" t="n"/>
      <c r="U38" s="12" t="n"/>
      <c r="V38" s="12" t="n"/>
      <c r="W38" s="12" t="n"/>
      <c r="X38" s="14" t="n"/>
      <c r="Y38" s="15">
        <f>IF(TODAY()&lt;R38, 0, IF(TODAY()&gt;S38, T38, T38 * (TODAY()-R38)/(S38-R38+1)))</f>
        <v/>
      </c>
      <c r="Z38" s="15">
        <f>T38 * (X38/100)</f>
        <v/>
      </c>
      <c r="AA38" s="16">
        <f>W38</f>
        <v/>
      </c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4" t="n"/>
      <c r="AK38" s="15">
        <f>IF(TODAY()&lt;AD38, 0, IF(TODAY()&gt;AE38, AF38, AF38 * (TODAY()-AD38)/(AE38-AD38+1)))</f>
        <v/>
      </c>
      <c r="AL38" s="15">
        <f>AF38 * (AJ38/100)</f>
        <v/>
      </c>
      <c r="AM38" s="16">
        <f>AI38</f>
        <v/>
      </c>
    </row>
    <row r="39">
      <c r="A39" s="11" t="n"/>
      <c r="B39" s="12" t="n"/>
      <c r="C39" s="13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4" t="n"/>
      <c r="M39" s="15">
        <f>IF(TODAY()&lt;F39, 0, IF(TODAY()&gt;G39, H39, H39 * (TODAY()-F39)/(G39-F39+1)))</f>
        <v/>
      </c>
      <c r="N39" s="15">
        <f>H39 * (L39/100)</f>
        <v/>
      </c>
      <c r="O39" s="16">
        <f>K39</f>
        <v/>
      </c>
      <c r="P39" s="12" t="n"/>
      <c r="Q39" s="12" t="n"/>
      <c r="R39" s="12" t="n"/>
      <c r="S39" s="12" t="n"/>
      <c r="T39" s="12" t="n"/>
      <c r="U39" s="12" t="n"/>
      <c r="V39" s="12" t="n"/>
      <c r="W39" s="12" t="n"/>
      <c r="X39" s="14" t="n"/>
      <c r="Y39" s="15">
        <f>IF(TODAY()&lt;R39, 0, IF(TODAY()&gt;S39, T39, T39 * (TODAY()-R39)/(S39-R39+1)))</f>
        <v/>
      </c>
      <c r="Z39" s="15">
        <f>T39 * (X39/100)</f>
        <v/>
      </c>
      <c r="AA39" s="16">
        <f>W39</f>
        <v/>
      </c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4" t="n"/>
      <c r="AK39" s="15">
        <f>IF(TODAY()&lt;AD39, 0, IF(TODAY()&gt;AE39, AF39, AF39 * (TODAY()-AD39)/(AE39-AD39+1)))</f>
        <v/>
      </c>
      <c r="AL39" s="15">
        <f>AF39 * (AJ39/100)</f>
        <v/>
      </c>
      <c r="AM39" s="16">
        <f>AI39</f>
        <v/>
      </c>
    </row>
    <row r="40">
      <c r="A40" s="11" t="n"/>
      <c r="B40" s="12" t="n"/>
      <c r="C40" s="13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4" t="n"/>
      <c r="M40" s="15">
        <f>IF(TODAY()&lt;F40, 0, IF(TODAY()&gt;G40, H40, H40 * (TODAY()-F40)/(G40-F40+1)))</f>
        <v/>
      </c>
      <c r="N40" s="15">
        <f>H40 * (L40/100)</f>
        <v/>
      </c>
      <c r="O40" s="16">
        <f>K40</f>
        <v/>
      </c>
      <c r="P40" s="12" t="n"/>
      <c r="Q40" s="12" t="n"/>
      <c r="R40" s="12" t="n"/>
      <c r="S40" s="12" t="n"/>
      <c r="T40" s="12" t="n"/>
      <c r="U40" s="12" t="n"/>
      <c r="V40" s="12" t="n"/>
      <c r="W40" s="12" t="n"/>
      <c r="X40" s="14" t="n"/>
      <c r="Y40" s="15">
        <f>IF(TODAY()&lt;R40, 0, IF(TODAY()&gt;S40, T40, T40 * (TODAY()-R40)/(S40-R40+1)))</f>
        <v/>
      </c>
      <c r="Z40" s="15">
        <f>T40 * (X40/100)</f>
        <v/>
      </c>
      <c r="AA40" s="16">
        <f>W40</f>
        <v/>
      </c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4" t="n"/>
      <c r="AK40" s="15">
        <f>IF(TODAY()&lt;AD40, 0, IF(TODAY()&gt;AE40, AF40, AF40 * (TODAY()-AD40)/(AE40-AD40+1)))</f>
        <v/>
      </c>
      <c r="AL40" s="15">
        <f>AF40 * (AJ40/100)</f>
        <v/>
      </c>
      <c r="AM40" s="16">
        <f>AI40</f>
        <v/>
      </c>
    </row>
    <row r="41">
      <c r="A41" s="11" t="n"/>
      <c r="B41" s="12" t="n"/>
      <c r="C41" s="13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4" t="n"/>
      <c r="M41" s="15">
        <f>IF(TODAY()&lt;F41, 0, IF(TODAY()&gt;G41, H41, H41 * (TODAY()-F41)/(G41-F41+1)))</f>
        <v/>
      </c>
      <c r="N41" s="15">
        <f>H41 * (L41/100)</f>
        <v/>
      </c>
      <c r="O41" s="16">
        <f>K41</f>
        <v/>
      </c>
      <c r="P41" s="12" t="n"/>
      <c r="Q41" s="12" t="n"/>
      <c r="R41" s="12" t="n"/>
      <c r="S41" s="12" t="n"/>
      <c r="T41" s="12" t="n"/>
      <c r="U41" s="12" t="n"/>
      <c r="V41" s="12" t="n"/>
      <c r="W41" s="12" t="n"/>
      <c r="X41" s="14" t="n"/>
      <c r="Y41" s="15">
        <f>IF(TODAY()&lt;R41, 0, IF(TODAY()&gt;S41, T41, T41 * (TODAY()-R41)/(S41-R41+1)))</f>
        <v/>
      </c>
      <c r="Z41" s="15">
        <f>T41 * (X41/100)</f>
        <v/>
      </c>
      <c r="AA41" s="16">
        <f>W41</f>
        <v/>
      </c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4" t="n"/>
      <c r="AK41" s="15">
        <f>IF(TODAY()&lt;AD41, 0, IF(TODAY()&gt;AE41, AF41, AF41 * (TODAY()-AD41)/(AE41-AD41+1)))</f>
        <v/>
      </c>
      <c r="AL41" s="15">
        <f>AF41 * (AJ41/100)</f>
        <v/>
      </c>
      <c r="AM41" s="16">
        <f>AI41</f>
        <v/>
      </c>
    </row>
    <row r="42">
      <c r="A42" s="11" t="n"/>
      <c r="B42" s="12" t="n"/>
      <c r="C42" s="13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4" t="n"/>
      <c r="M42" s="15">
        <f>IF(TODAY()&lt;F42, 0, IF(TODAY()&gt;G42, H42, H42 * (TODAY()-F42)/(G42-F42+1)))</f>
        <v/>
      </c>
      <c r="N42" s="15">
        <f>H42 * (L42/100)</f>
        <v/>
      </c>
      <c r="O42" s="16">
        <f>K42</f>
        <v/>
      </c>
      <c r="P42" s="12" t="n"/>
      <c r="Q42" s="12" t="n"/>
      <c r="R42" s="12" t="n"/>
      <c r="S42" s="12" t="n"/>
      <c r="T42" s="12" t="n"/>
      <c r="U42" s="12" t="n"/>
      <c r="V42" s="12" t="n"/>
      <c r="W42" s="12" t="n"/>
      <c r="X42" s="14" t="n"/>
      <c r="Y42" s="15">
        <f>IF(TODAY()&lt;R42, 0, IF(TODAY()&gt;S42, T42, T42 * (TODAY()-R42)/(S42-R42+1)))</f>
        <v/>
      </c>
      <c r="Z42" s="15">
        <f>T42 * (X42/100)</f>
        <v/>
      </c>
      <c r="AA42" s="16">
        <f>W42</f>
        <v/>
      </c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4" t="n"/>
      <c r="AK42" s="15">
        <f>IF(TODAY()&lt;AD42, 0, IF(TODAY()&gt;AE42, AF42, AF42 * (TODAY()-AD42)/(AE42-AD42+1)))</f>
        <v/>
      </c>
      <c r="AL42" s="15">
        <f>AF42 * (AJ42/100)</f>
        <v/>
      </c>
      <c r="AM42" s="16">
        <f>AI42</f>
        <v/>
      </c>
    </row>
    <row r="43">
      <c r="A43" s="11" t="n"/>
      <c r="B43" s="12" t="n"/>
      <c r="C43" s="13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4" t="n"/>
      <c r="M43" s="15">
        <f>IF(TODAY()&lt;F43, 0, IF(TODAY()&gt;G43, H43, H43 * (TODAY()-F43)/(G43-F43+1)))</f>
        <v/>
      </c>
      <c r="N43" s="15">
        <f>H43 * (L43/100)</f>
        <v/>
      </c>
      <c r="O43" s="16">
        <f>K43</f>
        <v/>
      </c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n"/>
      <c r="Y43" s="15">
        <f>IF(TODAY()&lt;R43, 0, IF(TODAY()&gt;S43, T43, T43 * (TODAY()-R43)/(S43-R43+1)))</f>
        <v/>
      </c>
      <c r="Z43" s="15">
        <f>T43 * (X43/100)</f>
        <v/>
      </c>
      <c r="AA43" s="16">
        <f>W43</f>
        <v/>
      </c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4" t="n"/>
      <c r="AK43" s="15">
        <f>IF(TODAY()&lt;AD43, 0, IF(TODAY()&gt;AE43, AF43, AF43 * (TODAY()-AD43)/(AE43-AD43+1)))</f>
        <v/>
      </c>
      <c r="AL43" s="15">
        <f>AF43 * (AJ43/100)</f>
        <v/>
      </c>
      <c r="AM43" s="16">
        <f>AI43</f>
        <v/>
      </c>
    </row>
    <row r="44">
      <c r="A44" s="11" t="n"/>
      <c r="B44" s="12" t="n"/>
      <c r="C44" s="13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4" t="n"/>
      <c r="M44" s="15">
        <f>IF(TODAY()&lt;F44, 0, IF(TODAY()&gt;G44, H44, H44 * (TODAY()-F44)/(G44-F44+1)))</f>
        <v/>
      </c>
      <c r="N44" s="15">
        <f>H44 * (L44/100)</f>
        <v/>
      </c>
      <c r="O44" s="16">
        <f>K44</f>
        <v/>
      </c>
      <c r="P44" s="12" t="n"/>
      <c r="Q44" s="12" t="n"/>
      <c r="R44" s="12" t="n"/>
      <c r="S44" s="12" t="n"/>
      <c r="T44" s="12" t="n"/>
      <c r="U44" s="12" t="n"/>
      <c r="V44" s="12" t="n"/>
      <c r="W44" s="12" t="n"/>
      <c r="X44" s="14" t="n"/>
      <c r="Y44" s="15">
        <f>IF(TODAY()&lt;R44, 0, IF(TODAY()&gt;S44, T44, T44 * (TODAY()-R44)/(S44-R44+1)))</f>
        <v/>
      </c>
      <c r="Z44" s="15">
        <f>T44 * (X44/100)</f>
        <v/>
      </c>
      <c r="AA44" s="16">
        <f>W44</f>
        <v/>
      </c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4" t="n"/>
      <c r="AK44" s="15">
        <f>IF(TODAY()&lt;AD44, 0, IF(TODAY()&gt;AE44, AF44, AF44 * (TODAY()-AD44)/(AE44-AD44+1)))</f>
        <v/>
      </c>
      <c r="AL44" s="15">
        <f>AF44 * (AJ44/100)</f>
        <v/>
      </c>
      <c r="AM44" s="16">
        <f>AI44</f>
        <v/>
      </c>
    </row>
    <row r="45">
      <c r="A45" s="11" t="n"/>
      <c r="B45" s="12" t="n"/>
      <c r="C45" s="13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4" t="n"/>
      <c r="M45" s="15">
        <f>IF(TODAY()&lt;F45, 0, IF(TODAY()&gt;G45, H45, H45 * (TODAY()-F45)/(G45-F45+1)))</f>
        <v/>
      </c>
      <c r="N45" s="15">
        <f>H45 * (L45/100)</f>
        <v/>
      </c>
      <c r="O45" s="16">
        <f>K45</f>
        <v/>
      </c>
      <c r="P45" s="12" t="n"/>
      <c r="Q45" s="12" t="n"/>
      <c r="R45" s="12" t="n"/>
      <c r="S45" s="12" t="n"/>
      <c r="T45" s="12" t="n"/>
      <c r="U45" s="12" t="n"/>
      <c r="V45" s="12" t="n"/>
      <c r="W45" s="12" t="n"/>
      <c r="X45" s="14" t="n"/>
      <c r="Y45" s="15">
        <f>IF(TODAY()&lt;R45, 0, IF(TODAY()&gt;S45, T45, T45 * (TODAY()-R45)/(S45-R45+1)))</f>
        <v/>
      </c>
      <c r="Z45" s="15">
        <f>T45 * (X45/100)</f>
        <v/>
      </c>
      <c r="AA45" s="16">
        <f>W45</f>
        <v/>
      </c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4" t="n"/>
      <c r="AK45" s="15">
        <f>IF(TODAY()&lt;AD45, 0, IF(TODAY()&gt;AE45, AF45, AF45 * (TODAY()-AD45)/(AE45-AD45+1)))</f>
        <v/>
      </c>
      <c r="AL45" s="15">
        <f>AF45 * (AJ45/100)</f>
        <v/>
      </c>
      <c r="AM45" s="16">
        <f>AI45</f>
        <v/>
      </c>
    </row>
    <row r="46">
      <c r="A46" s="11" t="n"/>
      <c r="B46" s="12" t="n"/>
      <c r="C46" s="13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4" t="n"/>
      <c r="M46" s="15">
        <f>IF(TODAY()&lt;F46, 0, IF(TODAY()&gt;G46, H46, H46 * (TODAY()-F46)/(G46-F46+1)))</f>
        <v/>
      </c>
      <c r="N46" s="15">
        <f>H46 * (L46/100)</f>
        <v/>
      </c>
      <c r="O46" s="16">
        <f>K46</f>
        <v/>
      </c>
      <c r="P46" s="12" t="n"/>
      <c r="Q46" s="12" t="n"/>
      <c r="R46" s="12" t="n"/>
      <c r="S46" s="12" t="n"/>
      <c r="T46" s="12" t="n"/>
      <c r="U46" s="12" t="n"/>
      <c r="V46" s="12" t="n"/>
      <c r="W46" s="12" t="n"/>
      <c r="X46" s="14" t="n"/>
      <c r="Y46" s="15">
        <f>IF(TODAY()&lt;R46, 0, IF(TODAY()&gt;S46, T46, T46 * (TODAY()-R46)/(S46-R46+1)))</f>
        <v/>
      </c>
      <c r="Z46" s="15">
        <f>T46 * (X46/100)</f>
        <v/>
      </c>
      <c r="AA46" s="16">
        <f>W46</f>
        <v/>
      </c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4" t="n"/>
      <c r="AK46" s="15">
        <f>IF(TODAY()&lt;AD46, 0, IF(TODAY()&gt;AE46, AF46, AF46 * (TODAY()-AD46)/(AE46-AD46+1)))</f>
        <v/>
      </c>
      <c r="AL46" s="15">
        <f>AF46 * (AJ46/100)</f>
        <v/>
      </c>
      <c r="AM46" s="16">
        <f>AI46</f>
        <v/>
      </c>
    </row>
    <row r="47">
      <c r="A47" s="11" t="n"/>
      <c r="B47" s="12" t="n"/>
      <c r="C47" s="13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4" t="n"/>
      <c r="M47" s="15">
        <f>IF(TODAY()&lt;F47, 0, IF(TODAY()&gt;G47, H47, H47 * (TODAY()-F47)/(G47-F47+1)))</f>
        <v/>
      </c>
      <c r="N47" s="15">
        <f>H47 * (L47/100)</f>
        <v/>
      </c>
      <c r="O47" s="16">
        <f>K47</f>
        <v/>
      </c>
      <c r="P47" s="12" t="n"/>
      <c r="Q47" s="12" t="n"/>
      <c r="R47" s="12" t="n"/>
      <c r="S47" s="12" t="n"/>
      <c r="T47" s="12" t="n"/>
      <c r="U47" s="12" t="n"/>
      <c r="V47" s="12" t="n"/>
      <c r="W47" s="12" t="n"/>
      <c r="X47" s="14" t="n"/>
      <c r="Y47" s="15">
        <f>IF(TODAY()&lt;R47, 0, IF(TODAY()&gt;S47, T47, T47 * (TODAY()-R47)/(S47-R47+1)))</f>
        <v/>
      </c>
      <c r="Z47" s="15">
        <f>T47 * (X47/100)</f>
        <v/>
      </c>
      <c r="AA47" s="16">
        <f>W47</f>
        <v/>
      </c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4" t="n"/>
      <c r="AK47" s="15">
        <f>IF(TODAY()&lt;AD47, 0, IF(TODAY()&gt;AE47, AF47, AF47 * (TODAY()-AD47)/(AE47-AD47+1)))</f>
        <v/>
      </c>
      <c r="AL47" s="15">
        <f>AF47 * (AJ47/100)</f>
        <v/>
      </c>
      <c r="AM47" s="16">
        <f>AI47</f>
        <v/>
      </c>
    </row>
    <row r="48">
      <c r="A48" s="11" t="n"/>
      <c r="B48" s="12" t="n"/>
      <c r="C48" s="13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4" t="n"/>
      <c r="M48" s="15">
        <f>IF(TODAY()&lt;F48, 0, IF(TODAY()&gt;G48, H48, H48 * (TODAY()-F48)/(G48-F48+1)))</f>
        <v/>
      </c>
      <c r="N48" s="15">
        <f>H48 * (L48/100)</f>
        <v/>
      </c>
      <c r="O48" s="16">
        <f>K48</f>
        <v/>
      </c>
      <c r="P48" s="12" t="n"/>
      <c r="Q48" s="12" t="n"/>
      <c r="R48" s="12" t="n"/>
      <c r="S48" s="12" t="n"/>
      <c r="T48" s="12" t="n"/>
      <c r="U48" s="12" t="n"/>
      <c r="V48" s="12" t="n"/>
      <c r="W48" s="12" t="n"/>
      <c r="X48" s="14" t="n"/>
      <c r="Y48" s="15">
        <f>IF(TODAY()&lt;R48, 0, IF(TODAY()&gt;S48, T48, T48 * (TODAY()-R48)/(S48-R48+1)))</f>
        <v/>
      </c>
      <c r="Z48" s="15">
        <f>T48 * (X48/100)</f>
        <v/>
      </c>
      <c r="AA48" s="16">
        <f>W48</f>
        <v/>
      </c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4" t="n"/>
      <c r="AK48" s="15">
        <f>IF(TODAY()&lt;AD48, 0, IF(TODAY()&gt;AE48, AF48, AF48 * (TODAY()-AD48)/(AE48-AD48+1)))</f>
        <v/>
      </c>
      <c r="AL48" s="15">
        <f>AF48 * (AJ48/100)</f>
        <v/>
      </c>
      <c r="AM48" s="16">
        <f>AI48</f>
        <v/>
      </c>
    </row>
    <row r="49">
      <c r="A49" s="11" t="n"/>
      <c r="B49" s="12" t="n"/>
      <c r="C49" s="13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4" t="n"/>
      <c r="M49" s="15">
        <f>IF(TODAY()&lt;F49, 0, IF(TODAY()&gt;G49, H49, H49 * (TODAY()-F49)/(G49-F49+1)))</f>
        <v/>
      </c>
      <c r="N49" s="15">
        <f>H49 * (L49/100)</f>
        <v/>
      </c>
      <c r="O49" s="16">
        <f>K49</f>
        <v/>
      </c>
      <c r="P49" s="12" t="n"/>
      <c r="Q49" s="12" t="n"/>
      <c r="R49" s="12" t="n"/>
      <c r="S49" s="12" t="n"/>
      <c r="T49" s="12" t="n"/>
      <c r="U49" s="12" t="n"/>
      <c r="V49" s="12" t="n"/>
      <c r="W49" s="12" t="n"/>
      <c r="X49" s="14" t="n"/>
      <c r="Y49" s="15">
        <f>IF(TODAY()&lt;R49, 0, IF(TODAY()&gt;S49, T49, T49 * (TODAY()-R49)/(S49-R49+1)))</f>
        <v/>
      </c>
      <c r="Z49" s="15">
        <f>T49 * (X49/100)</f>
        <v/>
      </c>
      <c r="AA49" s="16">
        <f>W49</f>
        <v/>
      </c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4" t="n"/>
      <c r="AK49" s="15">
        <f>IF(TODAY()&lt;AD49, 0, IF(TODAY()&gt;AE49, AF49, AF49 * (TODAY()-AD49)/(AE49-AD49+1)))</f>
        <v/>
      </c>
      <c r="AL49" s="15">
        <f>AF49 * (AJ49/100)</f>
        <v/>
      </c>
      <c r="AM49" s="16">
        <f>AI49</f>
        <v/>
      </c>
    </row>
    <row r="50">
      <c r="A50" s="11" t="n"/>
      <c r="B50" s="12" t="n"/>
      <c r="C50" s="13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4" t="n"/>
      <c r="M50" s="15">
        <f>IF(TODAY()&lt;F50, 0, IF(TODAY()&gt;G50, H50, H50 * (TODAY()-F50)/(G50-F50+1)))</f>
        <v/>
      </c>
      <c r="N50" s="15">
        <f>H50 * (L50/100)</f>
        <v/>
      </c>
      <c r="O50" s="16">
        <f>K50</f>
        <v/>
      </c>
      <c r="P50" s="12" t="n"/>
      <c r="Q50" s="12" t="n"/>
      <c r="R50" s="12" t="n"/>
      <c r="S50" s="12" t="n"/>
      <c r="T50" s="12" t="n"/>
      <c r="U50" s="12" t="n"/>
      <c r="V50" s="12" t="n"/>
      <c r="W50" s="12" t="n"/>
      <c r="X50" s="14" t="n"/>
      <c r="Y50" s="15">
        <f>IF(TODAY()&lt;R50, 0, IF(TODAY()&gt;S50, T50, T50 * (TODAY()-R50)/(S50-R50+1)))</f>
        <v/>
      </c>
      <c r="Z50" s="15">
        <f>T50 * (X50/100)</f>
        <v/>
      </c>
      <c r="AA50" s="16">
        <f>W50</f>
        <v/>
      </c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4" t="n"/>
      <c r="AK50" s="15">
        <f>IF(TODAY()&lt;AD50, 0, IF(TODAY()&gt;AE50, AF50, AF50 * (TODAY()-AD50)/(AE50-AD50+1)))</f>
        <v/>
      </c>
      <c r="AL50" s="15">
        <f>AF50 * (AJ50/100)</f>
        <v/>
      </c>
      <c r="AM50" s="16">
        <f>AI50</f>
        <v/>
      </c>
    </row>
    <row r="51">
      <c r="A51" s="11" t="n"/>
      <c r="B51" s="12" t="n"/>
      <c r="C51" s="13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4" t="n"/>
      <c r="M51" s="15">
        <f>IF(TODAY()&lt;F51, 0, IF(TODAY()&gt;G51, H51, H51 * (TODAY()-F51)/(G51-F51+1)))</f>
        <v/>
      </c>
      <c r="N51" s="15">
        <f>H51 * (L51/100)</f>
        <v/>
      </c>
      <c r="O51" s="16">
        <f>K51</f>
        <v/>
      </c>
      <c r="P51" s="12" t="n"/>
      <c r="Q51" s="12" t="n"/>
      <c r="R51" s="12" t="n"/>
      <c r="S51" s="12" t="n"/>
      <c r="T51" s="12" t="n"/>
      <c r="U51" s="12" t="n"/>
      <c r="V51" s="12" t="n"/>
      <c r="W51" s="12" t="n"/>
      <c r="X51" s="14" t="n"/>
      <c r="Y51" s="15">
        <f>IF(TODAY()&lt;R51, 0, IF(TODAY()&gt;S51, T51, T51 * (TODAY()-R51)/(S51-R51+1)))</f>
        <v/>
      </c>
      <c r="Z51" s="15">
        <f>T51 * (X51/100)</f>
        <v/>
      </c>
      <c r="AA51" s="16">
        <f>W51</f>
        <v/>
      </c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4" t="n"/>
      <c r="AK51" s="15">
        <f>IF(TODAY()&lt;AD51, 0, IF(TODAY()&gt;AE51, AF51, AF51 * (TODAY()-AD51)/(AE51-AD51+1)))</f>
        <v/>
      </c>
      <c r="AL51" s="15">
        <f>AF51 * (AJ51/100)</f>
        <v/>
      </c>
      <c r="AM51" s="16">
        <f>AI51</f>
        <v/>
      </c>
    </row>
    <row r="52">
      <c r="A52" s="11" t="n"/>
      <c r="B52" s="12" t="n"/>
      <c r="C52" s="13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4" t="n"/>
      <c r="M52" s="15">
        <f>IF(TODAY()&lt;F52, 0, IF(TODAY()&gt;G52, H52, H52 * (TODAY()-F52)/(G52-F52+1)))</f>
        <v/>
      </c>
      <c r="N52" s="15">
        <f>H52 * (L52/100)</f>
        <v/>
      </c>
      <c r="O52" s="16">
        <f>K52</f>
        <v/>
      </c>
      <c r="P52" s="12" t="n"/>
      <c r="Q52" s="12" t="n"/>
      <c r="R52" s="12" t="n"/>
      <c r="S52" s="12" t="n"/>
      <c r="T52" s="12" t="n"/>
      <c r="U52" s="12" t="n"/>
      <c r="V52" s="12" t="n"/>
      <c r="W52" s="12" t="n"/>
      <c r="X52" s="14" t="n"/>
      <c r="Y52" s="15">
        <f>IF(TODAY()&lt;R52, 0, IF(TODAY()&gt;S52, T52, T52 * (TODAY()-R52)/(S52-R52+1)))</f>
        <v/>
      </c>
      <c r="Z52" s="15">
        <f>T52 * (X52/100)</f>
        <v/>
      </c>
      <c r="AA52" s="16">
        <f>W52</f>
        <v/>
      </c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4" t="n"/>
      <c r="AK52" s="15">
        <f>IF(TODAY()&lt;AD52, 0, IF(TODAY()&gt;AE52, AF52, AF52 * (TODAY()-AD52)/(AE52-AD52+1)))</f>
        <v/>
      </c>
      <c r="AL52" s="15">
        <f>AF52 * (AJ52/100)</f>
        <v/>
      </c>
      <c r="AM52" s="16">
        <f>AI52</f>
        <v/>
      </c>
    </row>
    <row r="53">
      <c r="A53" s="11" t="n"/>
      <c r="B53" s="12" t="n"/>
      <c r="C53" s="13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4" t="n"/>
      <c r="M53" s="15">
        <f>IF(TODAY()&lt;F53, 0, IF(TODAY()&gt;G53, H53, H53 * (TODAY()-F53)/(G53-F53+1)))</f>
        <v/>
      </c>
      <c r="N53" s="15">
        <f>H53 * (L53/100)</f>
        <v/>
      </c>
      <c r="O53" s="16">
        <f>K53</f>
        <v/>
      </c>
      <c r="P53" s="12" t="n"/>
      <c r="Q53" s="12" t="n"/>
      <c r="R53" s="12" t="n"/>
      <c r="S53" s="12" t="n"/>
      <c r="T53" s="12" t="n"/>
      <c r="U53" s="12" t="n"/>
      <c r="V53" s="12" t="n"/>
      <c r="W53" s="12" t="n"/>
      <c r="X53" s="14" t="n"/>
      <c r="Y53" s="15">
        <f>IF(TODAY()&lt;R53, 0, IF(TODAY()&gt;S53, T53, T53 * (TODAY()-R53)/(S53-R53+1)))</f>
        <v/>
      </c>
      <c r="Z53" s="15">
        <f>T53 * (X53/100)</f>
        <v/>
      </c>
      <c r="AA53" s="16">
        <f>W53</f>
        <v/>
      </c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4" t="n"/>
      <c r="AK53" s="15">
        <f>IF(TODAY()&lt;AD53, 0, IF(TODAY()&gt;AE53, AF53, AF53 * (TODAY()-AD53)/(AE53-AD53+1)))</f>
        <v/>
      </c>
      <c r="AL53" s="15">
        <f>AF53 * (AJ53/100)</f>
        <v/>
      </c>
      <c r="AM53" s="16">
        <f>AI53</f>
        <v/>
      </c>
    </row>
    <row r="54">
      <c r="A54" s="11" t="n"/>
      <c r="B54" s="12" t="n"/>
      <c r="C54" s="13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4" t="n"/>
      <c r="M54" s="15">
        <f>IF(TODAY()&lt;F54, 0, IF(TODAY()&gt;G54, H54, H54 * (TODAY()-F54)/(G54-F54+1)))</f>
        <v/>
      </c>
      <c r="N54" s="15">
        <f>H54 * (L54/100)</f>
        <v/>
      </c>
      <c r="O54" s="16">
        <f>K54</f>
        <v/>
      </c>
      <c r="P54" s="12" t="n"/>
      <c r="Q54" s="12" t="n"/>
      <c r="R54" s="12" t="n"/>
      <c r="S54" s="12" t="n"/>
      <c r="T54" s="12" t="n"/>
      <c r="U54" s="12" t="n"/>
      <c r="V54" s="12" t="n"/>
      <c r="W54" s="12" t="n"/>
      <c r="X54" s="14" t="n"/>
      <c r="Y54" s="15">
        <f>IF(TODAY()&lt;R54, 0, IF(TODAY()&gt;S54, T54, T54 * (TODAY()-R54)/(S54-R54+1)))</f>
        <v/>
      </c>
      <c r="Z54" s="15">
        <f>T54 * (X54/100)</f>
        <v/>
      </c>
      <c r="AA54" s="16">
        <f>W54</f>
        <v/>
      </c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4" t="n"/>
      <c r="AK54" s="15">
        <f>IF(TODAY()&lt;AD54, 0, IF(TODAY()&gt;AE54, AF54, AF54 * (TODAY()-AD54)/(AE54-AD54+1)))</f>
        <v/>
      </c>
      <c r="AL54" s="15">
        <f>AF54 * (AJ54/100)</f>
        <v/>
      </c>
      <c r="AM54" s="16">
        <f>AI54</f>
        <v/>
      </c>
    </row>
    <row r="55">
      <c r="A55" s="11" t="n"/>
      <c r="B55" s="12" t="n"/>
      <c r="C55" s="13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4" t="n"/>
      <c r="M55" s="15">
        <f>IF(TODAY()&lt;F55, 0, IF(TODAY()&gt;G55, H55, H55 * (TODAY()-F55)/(G55-F55+1)))</f>
        <v/>
      </c>
      <c r="N55" s="15">
        <f>H55 * (L55/100)</f>
        <v/>
      </c>
      <c r="O55" s="16">
        <f>K55</f>
        <v/>
      </c>
      <c r="P55" s="12" t="n"/>
      <c r="Q55" s="12" t="n"/>
      <c r="R55" s="12" t="n"/>
      <c r="S55" s="12" t="n"/>
      <c r="T55" s="12" t="n"/>
      <c r="U55" s="12" t="n"/>
      <c r="V55" s="12" t="n"/>
      <c r="W55" s="12" t="n"/>
      <c r="X55" s="14" t="n"/>
      <c r="Y55" s="15">
        <f>IF(TODAY()&lt;R55, 0, IF(TODAY()&gt;S55, T55, T55 * (TODAY()-R55)/(S55-R55+1)))</f>
        <v/>
      </c>
      <c r="Z55" s="15">
        <f>T55 * (X55/100)</f>
        <v/>
      </c>
      <c r="AA55" s="16">
        <f>W55</f>
        <v/>
      </c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4" t="n"/>
      <c r="AK55" s="15">
        <f>IF(TODAY()&lt;AD55, 0, IF(TODAY()&gt;AE55, AF55, AF55 * (TODAY()-AD55)/(AE55-AD55+1)))</f>
        <v/>
      </c>
      <c r="AL55" s="15">
        <f>AF55 * (AJ55/100)</f>
        <v/>
      </c>
      <c r="AM55" s="16">
        <f>AI55</f>
        <v/>
      </c>
    </row>
    <row r="56">
      <c r="A56" s="11" t="n"/>
      <c r="B56" s="12" t="n"/>
      <c r="C56" s="13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4" t="n"/>
      <c r="M56" s="15">
        <f>IF(TODAY()&lt;F56, 0, IF(TODAY()&gt;G56, H56, H56 * (TODAY()-F56)/(G56-F56+1)))</f>
        <v/>
      </c>
      <c r="N56" s="15">
        <f>H56 * (L56/100)</f>
        <v/>
      </c>
      <c r="O56" s="16">
        <f>K56</f>
        <v/>
      </c>
      <c r="P56" s="12" t="n"/>
      <c r="Q56" s="12" t="n"/>
      <c r="R56" s="12" t="n"/>
      <c r="S56" s="12" t="n"/>
      <c r="T56" s="12" t="n"/>
      <c r="U56" s="12" t="n"/>
      <c r="V56" s="12" t="n"/>
      <c r="W56" s="12" t="n"/>
      <c r="X56" s="14" t="n"/>
      <c r="Y56" s="15">
        <f>IF(TODAY()&lt;R56, 0, IF(TODAY()&gt;S56, T56, T56 * (TODAY()-R56)/(S56-R56+1)))</f>
        <v/>
      </c>
      <c r="Z56" s="15">
        <f>T56 * (X56/100)</f>
        <v/>
      </c>
      <c r="AA56" s="16">
        <f>W56</f>
        <v/>
      </c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4" t="n"/>
      <c r="AK56" s="15">
        <f>IF(TODAY()&lt;AD56, 0, IF(TODAY()&gt;AE56, AF56, AF56 * (TODAY()-AD56)/(AE56-AD56+1)))</f>
        <v/>
      </c>
      <c r="AL56" s="15">
        <f>AF56 * (AJ56/100)</f>
        <v/>
      </c>
      <c r="AM56" s="16">
        <f>AI56</f>
        <v/>
      </c>
    </row>
    <row r="57">
      <c r="A57" s="11" t="n"/>
      <c r="B57" s="12" t="n"/>
      <c r="C57" s="13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4" t="n"/>
      <c r="M57" s="15">
        <f>IF(TODAY()&lt;F57, 0, IF(TODAY()&gt;G57, H57, H57 * (TODAY()-F57)/(G57-F57+1)))</f>
        <v/>
      </c>
      <c r="N57" s="15">
        <f>H57 * (L57/100)</f>
        <v/>
      </c>
      <c r="O57" s="16">
        <f>K57</f>
        <v/>
      </c>
      <c r="P57" s="12" t="n"/>
      <c r="Q57" s="12" t="n"/>
      <c r="R57" s="12" t="n"/>
      <c r="S57" s="12" t="n"/>
      <c r="T57" s="12" t="n"/>
      <c r="U57" s="12" t="n"/>
      <c r="V57" s="12" t="n"/>
      <c r="W57" s="12" t="n"/>
      <c r="X57" s="14" t="n"/>
      <c r="Y57" s="15">
        <f>IF(TODAY()&lt;R57, 0, IF(TODAY()&gt;S57, T57, T57 * (TODAY()-R57)/(S57-R57+1)))</f>
        <v/>
      </c>
      <c r="Z57" s="15">
        <f>T57 * (X57/100)</f>
        <v/>
      </c>
      <c r="AA57" s="16">
        <f>W57</f>
        <v/>
      </c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4" t="n"/>
      <c r="AK57" s="15">
        <f>IF(TODAY()&lt;AD57, 0, IF(TODAY()&gt;AE57, AF57, AF57 * (TODAY()-AD57)/(AE57-AD57+1)))</f>
        <v/>
      </c>
      <c r="AL57" s="15">
        <f>AF57 * (AJ57/100)</f>
        <v/>
      </c>
      <c r="AM57" s="16">
        <f>AI57</f>
        <v/>
      </c>
    </row>
    <row r="58">
      <c r="A58" s="11" t="n"/>
      <c r="B58" s="12" t="n"/>
      <c r="C58" s="13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4" t="n"/>
      <c r="M58" s="15">
        <f>IF(TODAY()&lt;F58, 0, IF(TODAY()&gt;G58, H58, H58 * (TODAY()-F58)/(G58-F58+1)))</f>
        <v/>
      </c>
      <c r="N58" s="15">
        <f>H58 * (L58/100)</f>
        <v/>
      </c>
      <c r="O58" s="16">
        <f>K58</f>
        <v/>
      </c>
      <c r="P58" s="12" t="n"/>
      <c r="Q58" s="12" t="n"/>
      <c r="R58" s="12" t="n"/>
      <c r="S58" s="12" t="n"/>
      <c r="T58" s="12" t="n"/>
      <c r="U58" s="12" t="n"/>
      <c r="V58" s="12" t="n"/>
      <c r="W58" s="12" t="n"/>
      <c r="X58" s="14" t="n"/>
      <c r="Y58" s="15">
        <f>IF(TODAY()&lt;R58, 0, IF(TODAY()&gt;S58, T58, T58 * (TODAY()-R58)/(S58-R58+1)))</f>
        <v/>
      </c>
      <c r="Z58" s="15">
        <f>T58 * (X58/100)</f>
        <v/>
      </c>
      <c r="AA58" s="16">
        <f>W58</f>
        <v/>
      </c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4" t="n"/>
      <c r="AK58" s="15">
        <f>IF(TODAY()&lt;AD58, 0, IF(TODAY()&gt;AE58, AF58, AF58 * (TODAY()-AD58)/(AE58-AD58+1)))</f>
        <v/>
      </c>
      <c r="AL58" s="15">
        <f>AF58 * (AJ58/100)</f>
        <v/>
      </c>
      <c r="AM58" s="16">
        <f>AI58</f>
        <v/>
      </c>
    </row>
    <row r="59">
      <c r="A59" s="11" t="n"/>
      <c r="B59" s="12" t="n"/>
      <c r="C59" s="13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4" t="n"/>
      <c r="M59" s="15">
        <f>IF(TODAY()&lt;F59, 0, IF(TODAY()&gt;G59, H59, H59 * (TODAY()-F59)/(G59-F59+1)))</f>
        <v/>
      </c>
      <c r="N59" s="15">
        <f>H59 * (L59/100)</f>
        <v/>
      </c>
      <c r="O59" s="16">
        <f>K59</f>
        <v/>
      </c>
      <c r="P59" s="12" t="n"/>
      <c r="Q59" s="12" t="n"/>
      <c r="R59" s="12" t="n"/>
      <c r="S59" s="12" t="n"/>
      <c r="T59" s="12" t="n"/>
      <c r="U59" s="12" t="n"/>
      <c r="V59" s="12" t="n"/>
      <c r="W59" s="12" t="n"/>
      <c r="X59" s="14" t="n"/>
      <c r="Y59" s="15">
        <f>IF(TODAY()&lt;R59, 0, IF(TODAY()&gt;S59, T59, T59 * (TODAY()-R59)/(S59-R59+1)))</f>
        <v/>
      </c>
      <c r="Z59" s="15">
        <f>T59 * (X59/100)</f>
        <v/>
      </c>
      <c r="AA59" s="16">
        <f>W59</f>
        <v/>
      </c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4" t="n"/>
      <c r="AK59" s="15">
        <f>IF(TODAY()&lt;AD59, 0, IF(TODAY()&gt;AE59, AF59, AF59 * (TODAY()-AD59)/(AE59-AD59+1)))</f>
        <v/>
      </c>
      <c r="AL59" s="15">
        <f>AF59 * (AJ59/100)</f>
        <v/>
      </c>
      <c r="AM59" s="16">
        <f>AI59</f>
        <v/>
      </c>
    </row>
    <row r="60">
      <c r="A60" s="11" t="n"/>
      <c r="B60" s="12" t="n"/>
      <c r="C60" s="13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4" t="n"/>
      <c r="M60" s="15">
        <f>IF(TODAY()&lt;F60, 0, IF(TODAY()&gt;G60, H60, H60 * (TODAY()-F60)/(G60-F60+1)))</f>
        <v/>
      </c>
      <c r="N60" s="15">
        <f>H60 * (L60/100)</f>
        <v/>
      </c>
      <c r="O60" s="16">
        <f>K60</f>
        <v/>
      </c>
      <c r="P60" s="12" t="n"/>
      <c r="Q60" s="12" t="n"/>
      <c r="R60" s="12" t="n"/>
      <c r="S60" s="12" t="n"/>
      <c r="T60" s="12" t="n"/>
      <c r="U60" s="12" t="n"/>
      <c r="V60" s="12" t="n"/>
      <c r="W60" s="12" t="n"/>
      <c r="X60" s="14" t="n"/>
      <c r="Y60" s="15">
        <f>IF(TODAY()&lt;R60, 0, IF(TODAY()&gt;S60, T60, T60 * (TODAY()-R60)/(S60-R60+1)))</f>
        <v/>
      </c>
      <c r="Z60" s="15">
        <f>T60 * (X60/100)</f>
        <v/>
      </c>
      <c r="AA60" s="16">
        <f>W60</f>
        <v/>
      </c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4" t="n"/>
      <c r="AK60" s="15">
        <f>IF(TODAY()&lt;AD60, 0, IF(TODAY()&gt;AE60, AF60, AF60 * (TODAY()-AD60)/(AE60-AD60+1)))</f>
        <v/>
      </c>
      <c r="AL60" s="15">
        <f>AF60 * (AJ60/100)</f>
        <v/>
      </c>
      <c r="AM60" s="16">
        <f>AI60</f>
        <v/>
      </c>
    </row>
    <row r="61">
      <c r="A61" s="11" t="n"/>
      <c r="B61" s="12" t="n"/>
      <c r="C61" s="13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4" t="n"/>
      <c r="M61" s="15">
        <f>IF(TODAY()&lt;F61, 0, IF(TODAY()&gt;G61, H61, H61 * (TODAY()-F61)/(G61-F61+1)))</f>
        <v/>
      </c>
      <c r="N61" s="15">
        <f>H61 * (L61/100)</f>
        <v/>
      </c>
      <c r="O61" s="16">
        <f>K61</f>
        <v/>
      </c>
      <c r="P61" s="12" t="n"/>
      <c r="Q61" s="12" t="n"/>
      <c r="R61" s="12" t="n"/>
      <c r="S61" s="12" t="n"/>
      <c r="T61" s="12" t="n"/>
      <c r="U61" s="12" t="n"/>
      <c r="V61" s="12" t="n"/>
      <c r="W61" s="12" t="n"/>
      <c r="X61" s="14" t="n"/>
      <c r="Y61" s="15">
        <f>IF(TODAY()&lt;R61, 0, IF(TODAY()&gt;S61, T61, T61 * (TODAY()-R61)/(S61-R61+1)))</f>
        <v/>
      </c>
      <c r="Z61" s="15">
        <f>T61 * (X61/100)</f>
        <v/>
      </c>
      <c r="AA61" s="16">
        <f>W61</f>
        <v/>
      </c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4" t="n"/>
      <c r="AK61" s="15">
        <f>IF(TODAY()&lt;AD61, 0, IF(TODAY()&gt;AE61, AF61, AF61 * (TODAY()-AD61)/(AE61-AD61+1)))</f>
        <v/>
      </c>
      <c r="AL61" s="15">
        <f>AF61 * (AJ61/100)</f>
        <v/>
      </c>
      <c r="AM61" s="16">
        <f>AI61</f>
        <v/>
      </c>
    </row>
    <row r="62">
      <c r="A62" s="11" t="n"/>
      <c r="B62" s="12" t="n"/>
      <c r="C62" s="13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4" t="n"/>
      <c r="M62" s="15">
        <f>IF(TODAY()&lt;F62, 0, IF(TODAY()&gt;G62, H62, H62 * (TODAY()-F62)/(G62-F62+1)))</f>
        <v/>
      </c>
      <c r="N62" s="15">
        <f>H62 * (L62/100)</f>
        <v/>
      </c>
      <c r="O62" s="16">
        <f>K62</f>
        <v/>
      </c>
      <c r="P62" s="12" t="n"/>
      <c r="Q62" s="12" t="n"/>
      <c r="R62" s="12" t="n"/>
      <c r="S62" s="12" t="n"/>
      <c r="T62" s="12" t="n"/>
      <c r="U62" s="12" t="n"/>
      <c r="V62" s="12" t="n"/>
      <c r="W62" s="12" t="n"/>
      <c r="X62" s="14" t="n"/>
      <c r="Y62" s="15">
        <f>IF(TODAY()&lt;R62, 0, IF(TODAY()&gt;S62, T62, T62 * (TODAY()-R62)/(S62-R62+1)))</f>
        <v/>
      </c>
      <c r="Z62" s="15">
        <f>T62 * (X62/100)</f>
        <v/>
      </c>
      <c r="AA62" s="16">
        <f>W62</f>
        <v/>
      </c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4" t="n"/>
      <c r="AK62" s="15">
        <f>IF(TODAY()&lt;AD62, 0, IF(TODAY()&gt;AE62, AF62, AF62 * (TODAY()-AD62)/(AE62-AD62+1)))</f>
        <v/>
      </c>
      <c r="AL62" s="15">
        <f>AF62 * (AJ62/100)</f>
        <v/>
      </c>
      <c r="AM62" s="16">
        <f>AI62</f>
        <v/>
      </c>
    </row>
    <row r="63">
      <c r="A63" s="11" t="n"/>
      <c r="B63" s="12" t="n"/>
      <c r="C63" s="13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4" t="n"/>
      <c r="M63" s="15">
        <f>IF(TODAY()&lt;F63, 0, IF(TODAY()&gt;G63, H63, H63 * (TODAY()-F63)/(G63-F63+1)))</f>
        <v/>
      </c>
      <c r="N63" s="15">
        <f>H63 * (L63/100)</f>
        <v/>
      </c>
      <c r="O63" s="16">
        <f>K63</f>
        <v/>
      </c>
      <c r="P63" s="12" t="n"/>
      <c r="Q63" s="12" t="n"/>
      <c r="R63" s="12" t="n"/>
      <c r="S63" s="12" t="n"/>
      <c r="T63" s="12" t="n"/>
      <c r="U63" s="12" t="n"/>
      <c r="V63" s="12" t="n"/>
      <c r="W63" s="12" t="n"/>
      <c r="X63" s="14" t="n"/>
      <c r="Y63" s="15">
        <f>IF(TODAY()&lt;R63, 0, IF(TODAY()&gt;S63, T63, T63 * (TODAY()-R63)/(S63-R63+1)))</f>
        <v/>
      </c>
      <c r="Z63" s="15">
        <f>T63 * (X63/100)</f>
        <v/>
      </c>
      <c r="AA63" s="16">
        <f>W63</f>
        <v/>
      </c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4" t="n"/>
      <c r="AK63" s="15">
        <f>IF(TODAY()&lt;AD63, 0, IF(TODAY()&gt;AE63, AF63, AF63 * (TODAY()-AD63)/(AE63-AD63+1)))</f>
        <v/>
      </c>
      <c r="AL63" s="15">
        <f>AF63 * (AJ63/100)</f>
        <v/>
      </c>
      <c r="AM63" s="16">
        <f>AI63</f>
        <v/>
      </c>
    </row>
    <row r="64">
      <c r="A64" s="11" t="n"/>
      <c r="B64" s="12" t="n"/>
      <c r="C64" s="13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4" t="n"/>
      <c r="M64" s="15">
        <f>IF(TODAY()&lt;F64, 0, IF(TODAY()&gt;G64, H64, H64 * (TODAY()-F64)/(G64-F64+1)))</f>
        <v/>
      </c>
      <c r="N64" s="15">
        <f>H64 * (L64/100)</f>
        <v/>
      </c>
      <c r="O64" s="16">
        <f>K64</f>
        <v/>
      </c>
      <c r="P64" s="12" t="n"/>
      <c r="Q64" s="12" t="n"/>
      <c r="R64" s="12" t="n"/>
      <c r="S64" s="12" t="n"/>
      <c r="T64" s="12" t="n"/>
      <c r="U64" s="12" t="n"/>
      <c r="V64" s="12" t="n"/>
      <c r="W64" s="12" t="n"/>
      <c r="X64" s="14" t="n"/>
      <c r="Y64" s="15">
        <f>IF(TODAY()&lt;R64, 0, IF(TODAY()&gt;S64, T64, T64 * (TODAY()-R64)/(S64-R64+1)))</f>
        <v/>
      </c>
      <c r="Z64" s="15">
        <f>T64 * (X64/100)</f>
        <v/>
      </c>
      <c r="AA64" s="16">
        <f>W64</f>
        <v/>
      </c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4" t="n"/>
      <c r="AK64" s="15">
        <f>IF(TODAY()&lt;AD64, 0, IF(TODAY()&gt;AE64, AF64, AF64 * (TODAY()-AD64)/(AE64-AD64+1)))</f>
        <v/>
      </c>
      <c r="AL64" s="15">
        <f>AF64 * (AJ64/100)</f>
        <v/>
      </c>
      <c r="AM64" s="16">
        <f>AI64</f>
        <v/>
      </c>
    </row>
    <row r="65">
      <c r="A65" s="11" t="n"/>
      <c r="B65" s="12" t="n"/>
      <c r="C65" s="13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4" t="n"/>
      <c r="M65" s="15">
        <f>IF(TODAY()&lt;F65, 0, IF(TODAY()&gt;G65, H65, H65 * (TODAY()-F65)/(G65-F65+1)))</f>
        <v/>
      </c>
      <c r="N65" s="15">
        <f>H65 * (L65/100)</f>
        <v/>
      </c>
      <c r="O65" s="16">
        <f>K65</f>
        <v/>
      </c>
      <c r="P65" s="12" t="n"/>
      <c r="Q65" s="12" t="n"/>
      <c r="R65" s="12" t="n"/>
      <c r="S65" s="12" t="n"/>
      <c r="T65" s="12" t="n"/>
      <c r="U65" s="12" t="n"/>
      <c r="V65" s="12" t="n"/>
      <c r="W65" s="12" t="n"/>
      <c r="X65" s="14" t="n"/>
      <c r="Y65" s="15">
        <f>IF(TODAY()&lt;R65, 0, IF(TODAY()&gt;S65, T65, T65 * (TODAY()-R65)/(S65-R65+1)))</f>
        <v/>
      </c>
      <c r="Z65" s="15">
        <f>T65 * (X65/100)</f>
        <v/>
      </c>
      <c r="AA65" s="16">
        <f>W65</f>
        <v/>
      </c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4" t="n"/>
      <c r="AK65" s="15">
        <f>IF(TODAY()&lt;AD65, 0, IF(TODAY()&gt;AE65, AF65, AF65 * (TODAY()-AD65)/(AE65-AD65+1)))</f>
        <v/>
      </c>
      <c r="AL65" s="15">
        <f>AF65 * (AJ65/100)</f>
        <v/>
      </c>
      <c r="AM65" s="16">
        <f>AI65</f>
        <v/>
      </c>
    </row>
    <row r="66">
      <c r="A66" s="11" t="n"/>
      <c r="B66" s="12" t="n"/>
      <c r="C66" s="13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4" t="n"/>
      <c r="M66" s="15">
        <f>IF(TODAY()&lt;F66, 0, IF(TODAY()&gt;G66, H66, H66 * (TODAY()-F66)/(G66-F66+1)))</f>
        <v/>
      </c>
      <c r="N66" s="15">
        <f>H66 * (L66/100)</f>
        <v/>
      </c>
      <c r="O66" s="16">
        <f>K66</f>
        <v/>
      </c>
      <c r="P66" s="12" t="n"/>
      <c r="Q66" s="12" t="n"/>
      <c r="R66" s="12" t="n"/>
      <c r="S66" s="12" t="n"/>
      <c r="T66" s="12" t="n"/>
      <c r="U66" s="12" t="n"/>
      <c r="V66" s="12" t="n"/>
      <c r="W66" s="12" t="n"/>
      <c r="X66" s="14" t="n"/>
      <c r="Y66" s="15">
        <f>IF(TODAY()&lt;R66, 0, IF(TODAY()&gt;S66, T66, T66 * (TODAY()-R66)/(S66-R66+1)))</f>
        <v/>
      </c>
      <c r="Z66" s="15">
        <f>T66 * (X66/100)</f>
        <v/>
      </c>
      <c r="AA66" s="16">
        <f>W66</f>
        <v/>
      </c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4" t="n"/>
      <c r="AK66" s="15">
        <f>IF(TODAY()&lt;AD66, 0, IF(TODAY()&gt;AE66, AF66, AF66 * (TODAY()-AD66)/(AE66-AD66+1)))</f>
        <v/>
      </c>
      <c r="AL66" s="15">
        <f>AF66 * (AJ66/100)</f>
        <v/>
      </c>
      <c r="AM66" s="16">
        <f>AI66</f>
        <v/>
      </c>
    </row>
    <row r="67">
      <c r="A67" s="11" t="n"/>
      <c r="B67" s="12" t="n"/>
      <c r="C67" s="13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4" t="n"/>
      <c r="M67" s="15">
        <f>IF(TODAY()&lt;F67, 0, IF(TODAY()&gt;G67, H67, H67 * (TODAY()-F67)/(G67-F67+1)))</f>
        <v/>
      </c>
      <c r="N67" s="15">
        <f>H67 * (L67/100)</f>
        <v/>
      </c>
      <c r="O67" s="16">
        <f>K67</f>
        <v/>
      </c>
      <c r="P67" s="12" t="n"/>
      <c r="Q67" s="12" t="n"/>
      <c r="R67" s="12" t="n"/>
      <c r="S67" s="12" t="n"/>
      <c r="T67" s="12" t="n"/>
      <c r="U67" s="12" t="n"/>
      <c r="V67" s="12" t="n"/>
      <c r="W67" s="12" t="n"/>
      <c r="X67" s="14" t="n"/>
      <c r="Y67" s="15">
        <f>IF(TODAY()&lt;R67, 0, IF(TODAY()&gt;S67, T67, T67 * (TODAY()-R67)/(S67-R67+1)))</f>
        <v/>
      </c>
      <c r="Z67" s="15">
        <f>T67 * (X67/100)</f>
        <v/>
      </c>
      <c r="AA67" s="16">
        <f>W67</f>
        <v/>
      </c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4" t="n"/>
      <c r="AK67" s="15">
        <f>IF(TODAY()&lt;AD67, 0, IF(TODAY()&gt;AE67, AF67, AF67 * (TODAY()-AD67)/(AE67-AD67+1)))</f>
        <v/>
      </c>
      <c r="AL67" s="15">
        <f>AF67 * (AJ67/100)</f>
        <v/>
      </c>
      <c r="AM67" s="16">
        <f>AI67</f>
        <v/>
      </c>
    </row>
    <row r="68">
      <c r="A68" s="11" t="n"/>
      <c r="B68" s="12" t="n"/>
      <c r="C68" s="13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4" t="n"/>
      <c r="M68" s="15">
        <f>IF(TODAY()&lt;F68, 0, IF(TODAY()&gt;G68, H68, H68 * (TODAY()-F68)/(G68-F68+1)))</f>
        <v/>
      </c>
      <c r="N68" s="15">
        <f>H68 * (L68/100)</f>
        <v/>
      </c>
      <c r="O68" s="16">
        <f>K68</f>
        <v/>
      </c>
      <c r="P68" s="12" t="n"/>
      <c r="Q68" s="12" t="n"/>
      <c r="R68" s="12" t="n"/>
      <c r="S68" s="12" t="n"/>
      <c r="T68" s="12" t="n"/>
      <c r="U68" s="12" t="n"/>
      <c r="V68" s="12" t="n"/>
      <c r="W68" s="12" t="n"/>
      <c r="X68" s="14" t="n"/>
      <c r="Y68" s="15">
        <f>IF(TODAY()&lt;R68, 0, IF(TODAY()&gt;S68, T68, T68 * (TODAY()-R68)/(S68-R68+1)))</f>
        <v/>
      </c>
      <c r="Z68" s="15">
        <f>T68 * (X68/100)</f>
        <v/>
      </c>
      <c r="AA68" s="16">
        <f>W68</f>
        <v/>
      </c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4" t="n"/>
      <c r="AK68" s="15">
        <f>IF(TODAY()&lt;AD68, 0, IF(TODAY()&gt;AE68, AF68, AF68 * (TODAY()-AD68)/(AE68-AD68+1)))</f>
        <v/>
      </c>
      <c r="AL68" s="15">
        <f>AF68 * (AJ68/100)</f>
        <v/>
      </c>
      <c r="AM68" s="16">
        <f>AI68</f>
        <v/>
      </c>
    </row>
    <row r="69">
      <c r="A69" s="11" t="n"/>
      <c r="B69" s="12" t="n"/>
      <c r="C69" s="13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4" t="n"/>
      <c r="M69" s="15">
        <f>IF(TODAY()&lt;F69, 0, IF(TODAY()&gt;G69, H69, H69 * (TODAY()-F69)/(G69-F69+1)))</f>
        <v/>
      </c>
      <c r="N69" s="15">
        <f>H69 * (L69/100)</f>
        <v/>
      </c>
      <c r="O69" s="16">
        <f>K69</f>
        <v/>
      </c>
      <c r="P69" s="12" t="n"/>
      <c r="Q69" s="12" t="n"/>
      <c r="R69" s="12" t="n"/>
      <c r="S69" s="12" t="n"/>
      <c r="T69" s="12" t="n"/>
      <c r="U69" s="12" t="n"/>
      <c r="V69" s="12" t="n"/>
      <c r="W69" s="12" t="n"/>
      <c r="X69" s="14" t="n"/>
      <c r="Y69" s="15">
        <f>IF(TODAY()&lt;R69, 0, IF(TODAY()&gt;S69, T69, T69 * (TODAY()-R69)/(S69-R69+1)))</f>
        <v/>
      </c>
      <c r="Z69" s="15">
        <f>T69 * (X69/100)</f>
        <v/>
      </c>
      <c r="AA69" s="16">
        <f>W69</f>
        <v/>
      </c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4" t="n"/>
      <c r="AK69" s="15">
        <f>IF(TODAY()&lt;AD69, 0, IF(TODAY()&gt;AE69, AF69, AF69 * (TODAY()-AD69)/(AE69-AD69+1)))</f>
        <v/>
      </c>
      <c r="AL69" s="15">
        <f>AF69 * (AJ69/100)</f>
        <v/>
      </c>
      <c r="AM69" s="16">
        <f>AI69</f>
        <v/>
      </c>
    </row>
    <row r="70">
      <c r="A70" s="11" t="n"/>
      <c r="B70" s="12" t="n"/>
      <c r="C70" s="13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4" t="n"/>
      <c r="M70" s="15">
        <f>IF(TODAY()&lt;F70, 0, IF(TODAY()&gt;G70, H70, H70 * (TODAY()-F70)/(G70-F70+1)))</f>
        <v/>
      </c>
      <c r="N70" s="15">
        <f>H70 * (L70/100)</f>
        <v/>
      </c>
      <c r="O70" s="16">
        <f>K70</f>
        <v/>
      </c>
      <c r="P70" s="12" t="n"/>
      <c r="Q70" s="12" t="n"/>
      <c r="R70" s="12" t="n"/>
      <c r="S70" s="12" t="n"/>
      <c r="T70" s="12" t="n"/>
      <c r="U70" s="12" t="n"/>
      <c r="V70" s="12" t="n"/>
      <c r="W70" s="12" t="n"/>
      <c r="X70" s="14" t="n"/>
      <c r="Y70" s="15">
        <f>IF(TODAY()&lt;R70, 0, IF(TODAY()&gt;S70, T70, T70 * (TODAY()-R70)/(S70-R70+1)))</f>
        <v/>
      </c>
      <c r="Z70" s="15">
        <f>T70 * (X70/100)</f>
        <v/>
      </c>
      <c r="AA70" s="16">
        <f>W70</f>
        <v/>
      </c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4" t="n"/>
      <c r="AK70" s="15">
        <f>IF(TODAY()&lt;AD70, 0, IF(TODAY()&gt;AE70, AF70, AF70 * (TODAY()-AD70)/(AE70-AD70+1)))</f>
        <v/>
      </c>
      <c r="AL70" s="15">
        <f>AF70 * (AJ70/100)</f>
        <v/>
      </c>
      <c r="AM70" s="16">
        <f>AI70</f>
        <v/>
      </c>
    </row>
    <row r="71">
      <c r="A71" s="11" t="n"/>
      <c r="B71" s="12" t="n"/>
      <c r="C71" s="13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4" t="n"/>
      <c r="M71" s="15">
        <f>IF(TODAY()&lt;F71, 0, IF(TODAY()&gt;G71, H71, H71 * (TODAY()-F71)/(G71-F71+1)))</f>
        <v/>
      </c>
      <c r="N71" s="15">
        <f>H71 * (L71/100)</f>
        <v/>
      </c>
      <c r="O71" s="16">
        <f>K71</f>
        <v/>
      </c>
      <c r="P71" s="12" t="n"/>
      <c r="Q71" s="12" t="n"/>
      <c r="R71" s="12" t="n"/>
      <c r="S71" s="12" t="n"/>
      <c r="T71" s="12" t="n"/>
      <c r="U71" s="12" t="n"/>
      <c r="V71" s="12" t="n"/>
      <c r="W71" s="12" t="n"/>
      <c r="X71" s="14" t="n"/>
      <c r="Y71" s="15">
        <f>IF(TODAY()&lt;R71, 0, IF(TODAY()&gt;S71, T71, T71 * (TODAY()-R71)/(S71-R71+1)))</f>
        <v/>
      </c>
      <c r="Z71" s="15">
        <f>T71 * (X71/100)</f>
        <v/>
      </c>
      <c r="AA71" s="16">
        <f>W71</f>
        <v/>
      </c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4" t="n"/>
      <c r="AK71" s="15">
        <f>IF(TODAY()&lt;AD71, 0, IF(TODAY()&gt;AE71, AF71, AF71 * (TODAY()-AD71)/(AE71-AD71+1)))</f>
        <v/>
      </c>
      <c r="AL71" s="15">
        <f>AF71 * (AJ71/100)</f>
        <v/>
      </c>
      <c r="AM71" s="16">
        <f>AI71</f>
        <v/>
      </c>
    </row>
    <row r="72">
      <c r="A72" s="11" t="n"/>
      <c r="B72" s="12" t="n"/>
      <c r="C72" s="13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4" t="n"/>
      <c r="M72" s="15">
        <f>IF(TODAY()&lt;F72, 0, IF(TODAY()&gt;G72, H72, H72 * (TODAY()-F72)/(G72-F72+1)))</f>
        <v/>
      </c>
      <c r="N72" s="15">
        <f>H72 * (L72/100)</f>
        <v/>
      </c>
      <c r="O72" s="16">
        <f>K72</f>
        <v/>
      </c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n"/>
      <c r="Y72" s="15">
        <f>IF(TODAY()&lt;R72, 0, IF(TODAY()&gt;S72, T72, T72 * (TODAY()-R72)/(S72-R72+1)))</f>
        <v/>
      </c>
      <c r="Z72" s="15">
        <f>T72 * (X72/100)</f>
        <v/>
      </c>
      <c r="AA72" s="16">
        <f>W72</f>
        <v/>
      </c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4" t="n"/>
      <c r="AK72" s="15">
        <f>IF(TODAY()&lt;AD72, 0, IF(TODAY()&gt;AE72, AF72, AF72 * (TODAY()-AD72)/(AE72-AD72+1)))</f>
        <v/>
      </c>
      <c r="AL72" s="15">
        <f>AF72 * (AJ72/100)</f>
        <v/>
      </c>
      <c r="AM72" s="16">
        <f>AI72</f>
        <v/>
      </c>
    </row>
    <row r="73">
      <c r="A73" s="11" t="n"/>
      <c r="B73" s="12" t="n"/>
      <c r="C73" s="13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4" t="n"/>
      <c r="M73" s="15">
        <f>IF(TODAY()&lt;F73, 0, IF(TODAY()&gt;G73, H73, H73 * (TODAY()-F73)/(G73-F73+1)))</f>
        <v/>
      </c>
      <c r="N73" s="15">
        <f>H73 * (L73/100)</f>
        <v/>
      </c>
      <c r="O73" s="16">
        <f>K73</f>
        <v/>
      </c>
      <c r="P73" s="12" t="n"/>
      <c r="Q73" s="12" t="n"/>
      <c r="R73" s="12" t="n"/>
      <c r="S73" s="12" t="n"/>
      <c r="T73" s="12" t="n"/>
      <c r="U73" s="12" t="n"/>
      <c r="V73" s="12" t="n"/>
      <c r="W73" s="12" t="n"/>
      <c r="X73" s="14" t="n"/>
      <c r="Y73" s="15">
        <f>IF(TODAY()&lt;R73, 0, IF(TODAY()&gt;S73, T73, T73 * (TODAY()-R73)/(S73-R73+1)))</f>
        <v/>
      </c>
      <c r="Z73" s="15">
        <f>T73 * (X73/100)</f>
        <v/>
      </c>
      <c r="AA73" s="16">
        <f>W73</f>
        <v/>
      </c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4" t="n"/>
      <c r="AK73" s="15">
        <f>IF(TODAY()&lt;AD73, 0, IF(TODAY()&gt;AE73, AF73, AF73 * (TODAY()-AD73)/(AE73-AD73+1)))</f>
        <v/>
      </c>
      <c r="AL73" s="15">
        <f>AF73 * (AJ73/100)</f>
        <v/>
      </c>
      <c r="AM73" s="16">
        <f>AI73</f>
        <v/>
      </c>
    </row>
    <row r="74">
      <c r="A74" s="11" t="n"/>
      <c r="B74" s="12" t="n"/>
      <c r="C74" s="13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4" t="n"/>
      <c r="M74" s="15">
        <f>IF(TODAY()&lt;F74, 0, IF(TODAY()&gt;G74, H74, H74 * (TODAY()-F74)/(G74-F74+1)))</f>
        <v/>
      </c>
      <c r="N74" s="15">
        <f>H74 * (L74/100)</f>
        <v/>
      </c>
      <c r="O74" s="16">
        <f>K74</f>
        <v/>
      </c>
      <c r="P74" s="12" t="n"/>
      <c r="Q74" s="12" t="n"/>
      <c r="R74" s="12" t="n"/>
      <c r="S74" s="12" t="n"/>
      <c r="T74" s="12" t="n"/>
      <c r="U74" s="12" t="n"/>
      <c r="V74" s="12" t="n"/>
      <c r="W74" s="12" t="n"/>
      <c r="X74" s="14" t="n"/>
      <c r="Y74" s="15">
        <f>IF(TODAY()&lt;R74, 0, IF(TODAY()&gt;S74, T74, T74 * (TODAY()-R74)/(S74-R74+1)))</f>
        <v/>
      </c>
      <c r="Z74" s="15">
        <f>T74 * (X74/100)</f>
        <v/>
      </c>
      <c r="AA74" s="16">
        <f>W74</f>
        <v/>
      </c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4" t="n"/>
      <c r="AK74" s="15">
        <f>IF(TODAY()&lt;AD74, 0, IF(TODAY()&gt;AE74, AF74, AF74 * (TODAY()-AD74)/(AE74-AD74+1)))</f>
        <v/>
      </c>
      <c r="AL74" s="15">
        <f>AF74 * (AJ74/100)</f>
        <v/>
      </c>
      <c r="AM74" s="16">
        <f>AI74</f>
        <v/>
      </c>
    </row>
    <row r="75">
      <c r="A75" s="11" t="n"/>
      <c r="B75" s="12" t="n"/>
      <c r="C75" s="13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4" t="n"/>
      <c r="M75" s="15">
        <f>IF(TODAY()&lt;F75, 0, IF(TODAY()&gt;G75, H75, H75 * (TODAY()-F75)/(G75-F75+1)))</f>
        <v/>
      </c>
      <c r="N75" s="15">
        <f>H75 * (L75/100)</f>
        <v/>
      </c>
      <c r="O75" s="16">
        <f>K75</f>
        <v/>
      </c>
      <c r="P75" s="12" t="n"/>
      <c r="Q75" s="12" t="n"/>
      <c r="R75" s="12" t="n"/>
      <c r="S75" s="12" t="n"/>
      <c r="T75" s="12" t="n"/>
      <c r="U75" s="12" t="n"/>
      <c r="V75" s="12" t="n"/>
      <c r="W75" s="12" t="n"/>
      <c r="X75" s="14" t="n"/>
      <c r="Y75" s="15">
        <f>IF(TODAY()&lt;R75, 0, IF(TODAY()&gt;S75, T75, T75 * (TODAY()-R75)/(S75-R75+1)))</f>
        <v/>
      </c>
      <c r="Z75" s="15">
        <f>T75 * (X75/100)</f>
        <v/>
      </c>
      <c r="AA75" s="16">
        <f>W75</f>
        <v/>
      </c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4" t="n"/>
      <c r="AK75" s="15">
        <f>IF(TODAY()&lt;AD75, 0, IF(TODAY()&gt;AE75, AF75, AF75 * (TODAY()-AD75)/(AE75-AD75+1)))</f>
        <v/>
      </c>
      <c r="AL75" s="15">
        <f>AF75 * (AJ75/100)</f>
        <v/>
      </c>
      <c r="AM75" s="16">
        <f>AI75</f>
        <v/>
      </c>
    </row>
    <row r="76">
      <c r="A76" s="11" t="n"/>
      <c r="B76" s="12" t="n"/>
      <c r="C76" s="13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4" t="n"/>
      <c r="M76" s="15">
        <f>IF(TODAY()&lt;F76, 0, IF(TODAY()&gt;G76, H76, H76 * (TODAY()-F76)/(G76-F76+1)))</f>
        <v/>
      </c>
      <c r="N76" s="15">
        <f>H76 * (L76/100)</f>
        <v/>
      </c>
      <c r="O76" s="16">
        <f>K76</f>
        <v/>
      </c>
      <c r="P76" s="12" t="n"/>
      <c r="Q76" s="12" t="n"/>
      <c r="R76" s="12" t="n"/>
      <c r="S76" s="12" t="n"/>
      <c r="T76" s="12" t="n"/>
      <c r="U76" s="12" t="n"/>
      <c r="V76" s="12" t="n"/>
      <c r="W76" s="12" t="n"/>
      <c r="X76" s="14" t="n"/>
      <c r="Y76" s="15">
        <f>IF(TODAY()&lt;R76, 0, IF(TODAY()&gt;S76, T76, T76 * (TODAY()-R76)/(S76-R76+1)))</f>
        <v/>
      </c>
      <c r="Z76" s="15">
        <f>T76 * (X76/100)</f>
        <v/>
      </c>
      <c r="AA76" s="16">
        <f>W76</f>
        <v/>
      </c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4" t="n"/>
      <c r="AK76" s="15">
        <f>IF(TODAY()&lt;AD76, 0, IF(TODAY()&gt;AE76, AF76, AF76 * (TODAY()-AD76)/(AE76-AD76+1)))</f>
        <v/>
      </c>
      <c r="AL76" s="15">
        <f>AF76 * (AJ76/100)</f>
        <v/>
      </c>
      <c r="AM76" s="16">
        <f>AI76</f>
        <v/>
      </c>
    </row>
    <row r="77">
      <c r="A77" s="11" t="n"/>
      <c r="B77" s="12" t="n"/>
      <c r="C77" s="13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4" t="n"/>
      <c r="M77" s="15">
        <f>IF(TODAY()&lt;F77, 0, IF(TODAY()&gt;G77, H77, H77 * (TODAY()-F77)/(G77-F77+1)))</f>
        <v/>
      </c>
      <c r="N77" s="15">
        <f>H77 * (L77/100)</f>
        <v/>
      </c>
      <c r="O77" s="16">
        <f>K77</f>
        <v/>
      </c>
      <c r="P77" s="12" t="n"/>
      <c r="Q77" s="12" t="n"/>
      <c r="R77" s="12" t="n"/>
      <c r="S77" s="12" t="n"/>
      <c r="T77" s="12" t="n"/>
      <c r="U77" s="12" t="n"/>
      <c r="V77" s="12" t="n"/>
      <c r="W77" s="12" t="n"/>
      <c r="X77" s="14" t="n"/>
      <c r="Y77" s="15">
        <f>IF(TODAY()&lt;R77, 0, IF(TODAY()&gt;S77, T77, T77 * (TODAY()-R77)/(S77-R77+1)))</f>
        <v/>
      </c>
      <c r="Z77" s="15">
        <f>T77 * (X77/100)</f>
        <v/>
      </c>
      <c r="AA77" s="16">
        <f>W77</f>
        <v/>
      </c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4" t="n"/>
      <c r="AK77" s="15">
        <f>IF(TODAY()&lt;AD77, 0, IF(TODAY()&gt;AE77, AF77, AF77 * (TODAY()-AD77)/(AE77-AD77+1)))</f>
        <v/>
      </c>
      <c r="AL77" s="15">
        <f>AF77 * (AJ77/100)</f>
        <v/>
      </c>
      <c r="AM77" s="16">
        <f>AI77</f>
        <v/>
      </c>
    </row>
    <row r="78">
      <c r="A78" s="11" t="n"/>
      <c r="B78" s="12" t="n"/>
      <c r="C78" s="13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4" t="n"/>
      <c r="M78" s="15">
        <f>IF(TODAY()&lt;F78, 0, IF(TODAY()&gt;G78, H78, H78 * (TODAY()-F78)/(G78-F78+1)))</f>
        <v/>
      </c>
      <c r="N78" s="15">
        <f>H78 * (L78/100)</f>
        <v/>
      </c>
      <c r="O78" s="16">
        <f>K78</f>
        <v/>
      </c>
      <c r="P78" s="12" t="n"/>
      <c r="Q78" s="12" t="n"/>
      <c r="R78" s="12" t="n"/>
      <c r="S78" s="12" t="n"/>
      <c r="T78" s="12" t="n"/>
      <c r="U78" s="12" t="n"/>
      <c r="V78" s="12" t="n"/>
      <c r="W78" s="12" t="n"/>
      <c r="X78" s="14" t="n"/>
      <c r="Y78" s="15">
        <f>IF(TODAY()&lt;R78, 0, IF(TODAY()&gt;S78, T78, T78 * (TODAY()-R78)/(S78-R78+1)))</f>
        <v/>
      </c>
      <c r="Z78" s="15">
        <f>T78 * (X78/100)</f>
        <v/>
      </c>
      <c r="AA78" s="16">
        <f>W78</f>
        <v/>
      </c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4" t="n"/>
      <c r="AK78" s="15">
        <f>IF(TODAY()&lt;AD78, 0, IF(TODAY()&gt;AE78, AF78, AF78 * (TODAY()-AD78)/(AE78-AD78+1)))</f>
        <v/>
      </c>
      <c r="AL78" s="15">
        <f>AF78 * (AJ78/100)</f>
        <v/>
      </c>
      <c r="AM78" s="16">
        <f>AI78</f>
        <v/>
      </c>
    </row>
    <row r="79">
      <c r="A79" s="11" t="n"/>
      <c r="B79" s="12" t="n"/>
      <c r="C79" s="13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4" t="n"/>
      <c r="M79" s="15">
        <f>IF(TODAY()&lt;F79, 0, IF(TODAY()&gt;G79, H79, H79 * (TODAY()-F79)/(G79-F79+1)))</f>
        <v/>
      </c>
      <c r="N79" s="15">
        <f>H79 * (L79/100)</f>
        <v/>
      </c>
      <c r="O79" s="16">
        <f>K79</f>
        <v/>
      </c>
      <c r="P79" s="12" t="n"/>
      <c r="Q79" s="12" t="n"/>
      <c r="R79" s="12" t="n"/>
      <c r="S79" s="12" t="n"/>
      <c r="T79" s="12" t="n"/>
      <c r="U79" s="12" t="n"/>
      <c r="V79" s="12" t="n"/>
      <c r="W79" s="12" t="n"/>
      <c r="X79" s="14" t="n"/>
      <c r="Y79" s="15">
        <f>IF(TODAY()&lt;R79, 0, IF(TODAY()&gt;S79, T79, T79 * (TODAY()-R79)/(S79-R79+1)))</f>
        <v/>
      </c>
      <c r="Z79" s="15">
        <f>T79 * (X79/100)</f>
        <v/>
      </c>
      <c r="AA79" s="16">
        <f>W79</f>
        <v/>
      </c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4" t="n"/>
      <c r="AK79" s="15">
        <f>IF(TODAY()&lt;AD79, 0, IF(TODAY()&gt;AE79, AF79, AF79 * (TODAY()-AD79)/(AE79-AD79+1)))</f>
        <v/>
      </c>
      <c r="AL79" s="15">
        <f>AF79 * (AJ79/100)</f>
        <v/>
      </c>
      <c r="AM79" s="16">
        <f>AI79</f>
        <v/>
      </c>
    </row>
    <row r="80">
      <c r="A80" s="11" t="n"/>
      <c r="B80" s="12" t="n"/>
      <c r="C80" s="13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4" t="n"/>
      <c r="M80" s="15">
        <f>IF(TODAY()&lt;F80, 0, IF(TODAY()&gt;G80, H80, H80 * (TODAY()-F80)/(G80-F80+1)))</f>
        <v/>
      </c>
      <c r="N80" s="15">
        <f>H80 * (L80/100)</f>
        <v/>
      </c>
      <c r="O80" s="16">
        <f>K80</f>
        <v/>
      </c>
      <c r="P80" s="12" t="n"/>
      <c r="Q80" s="12" t="n"/>
      <c r="R80" s="12" t="n"/>
      <c r="S80" s="12" t="n"/>
      <c r="T80" s="12" t="n"/>
      <c r="U80" s="12" t="n"/>
      <c r="V80" s="12" t="n"/>
      <c r="W80" s="12" t="n"/>
      <c r="X80" s="14" t="n"/>
      <c r="Y80" s="15">
        <f>IF(TODAY()&lt;R80, 0, IF(TODAY()&gt;S80, T80, T80 * (TODAY()-R80)/(S80-R80+1)))</f>
        <v/>
      </c>
      <c r="Z80" s="15">
        <f>T80 * (X80/100)</f>
        <v/>
      </c>
      <c r="AA80" s="16">
        <f>W80</f>
        <v/>
      </c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4" t="n"/>
      <c r="AK80" s="15">
        <f>IF(TODAY()&lt;AD80, 0, IF(TODAY()&gt;AE80, AF80, AF80 * (TODAY()-AD80)/(AE80-AD80+1)))</f>
        <v/>
      </c>
      <c r="AL80" s="15">
        <f>AF80 * (AJ80/100)</f>
        <v/>
      </c>
      <c r="AM80" s="16">
        <f>AI80</f>
        <v/>
      </c>
    </row>
    <row r="81">
      <c r="A81" s="11" t="n"/>
      <c r="B81" s="12" t="n"/>
      <c r="C81" s="13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4" t="n"/>
      <c r="M81" s="15">
        <f>IF(TODAY()&lt;F81, 0, IF(TODAY()&gt;G81, H81, H81 * (TODAY()-F81)/(G81-F81+1)))</f>
        <v/>
      </c>
      <c r="N81" s="15">
        <f>H81 * (L81/100)</f>
        <v/>
      </c>
      <c r="O81" s="16">
        <f>K81</f>
        <v/>
      </c>
      <c r="P81" s="12" t="n"/>
      <c r="Q81" s="12" t="n"/>
      <c r="R81" s="12" t="n"/>
      <c r="S81" s="12" t="n"/>
      <c r="T81" s="12" t="n"/>
      <c r="U81" s="12" t="n"/>
      <c r="V81" s="12" t="n"/>
      <c r="W81" s="12" t="n"/>
      <c r="X81" s="14" t="n"/>
      <c r="Y81" s="15">
        <f>IF(TODAY()&lt;R81, 0, IF(TODAY()&gt;S81, T81, T81 * (TODAY()-R81)/(S81-R81+1)))</f>
        <v/>
      </c>
      <c r="Z81" s="15">
        <f>T81 * (X81/100)</f>
        <v/>
      </c>
      <c r="AA81" s="16">
        <f>W81</f>
        <v/>
      </c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4" t="n"/>
      <c r="AK81" s="15">
        <f>IF(TODAY()&lt;AD81, 0, IF(TODAY()&gt;AE81, AF81, AF81 * (TODAY()-AD81)/(AE81-AD81+1)))</f>
        <v/>
      </c>
      <c r="AL81" s="15">
        <f>AF81 * (AJ81/100)</f>
        <v/>
      </c>
      <c r="AM81" s="16">
        <f>AI81</f>
        <v/>
      </c>
    </row>
    <row r="82">
      <c r="A82" s="11" t="n"/>
      <c r="B82" s="12" t="n"/>
      <c r="C82" s="13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4" t="n"/>
      <c r="M82" s="15">
        <f>IF(TODAY()&lt;F82, 0, IF(TODAY()&gt;G82, H82, H82 * (TODAY()-F82)/(G82-F82+1)))</f>
        <v/>
      </c>
      <c r="N82" s="15">
        <f>H82 * (L82/100)</f>
        <v/>
      </c>
      <c r="O82" s="16">
        <f>K82</f>
        <v/>
      </c>
      <c r="P82" s="12" t="n"/>
      <c r="Q82" s="12" t="n"/>
      <c r="R82" s="12" t="n"/>
      <c r="S82" s="12" t="n"/>
      <c r="T82" s="12" t="n"/>
      <c r="U82" s="12" t="n"/>
      <c r="V82" s="12" t="n"/>
      <c r="W82" s="12" t="n"/>
      <c r="X82" s="14" t="n"/>
      <c r="Y82" s="15">
        <f>IF(TODAY()&lt;R82, 0, IF(TODAY()&gt;S82, T82, T82 * (TODAY()-R82)/(S82-R82+1)))</f>
        <v/>
      </c>
      <c r="Z82" s="15">
        <f>T82 * (X82/100)</f>
        <v/>
      </c>
      <c r="AA82" s="16">
        <f>W82</f>
        <v/>
      </c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4" t="n"/>
      <c r="AK82" s="15">
        <f>IF(TODAY()&lt;AD82, 0, IF(TODAY()&gt;AE82, AF82, AF82 * (TODAY()-AD82)/(AE82-AD82+1)))</f>
        <v/>
      </c>
      <c r="AL82" s="15">
        <f>AF82 * (AJ82/100)</f>
        <v/>
      </c>
      <c r="AM82" s="16">
        <f>AI82</f>
        <v/>
      </c>
    </row>
    <row r="83">
      <c r="A83" s="11" t="n"/>
      <c r="B83" s="12" t="n"/>
      <c r="C83" s="13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4" t="n"/>
      <c r="M83" s="15">
        <f>IF(TODAY()&lt;F83, 0, IF(TODAY()&gt;G83, H83, H83 * (TODAY()-F83)/(G83-F83+1)))</f>
        <v/>
      </c>
      <c r="N83" s="15">
        <f>H83 * (L83/100)</f>
        <v/>
      </c>
      <c r="O83" s="16">
        <f>K83</f>
        <v/>
      </c>
      <c r="P83" s="12" t="n"/>
      <c r="Q83" s="12" t="n"/>
      <c r="R83" s="12" t="n"/>
      <c r="S83" s="12" t="n"/>
      <c r="T83" s="12" t="n"/>
      <c r="U83" s="12" t="n"/>
      <c r="V83" s="12" t="n"/>
      <c r="W83" s="12" t="n"/>
      <c r="X83" s="14" t="n"/>
      <c r="Y83" s="15">
        <f>IF(TODAY()&lt;R83, 0, IF(TODAY()&gt;S83, T83, T83 * (TODAY()-R83)/(S83-R83+1)))</f>
        <v/>
      </c>
      <c r="Z83" s="15">
        <f>T83 * (X83/100)</f>
        <v/>
      </c>
      <c r="AA83" s="16">
        <f>W83</f>
        <v/>
      </c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4" t="n"/>
      <c r="AK83" s="15">
        <f>IF(TODAY()&lt;AD83, 0, IF(TODAY()&gt;AE83, AF83, AF83 * (TODAY()-AD83)/(AE83-AD83+1)))</f>
        <v/>
      </c>
      <c r="AL83" s="15">
        <f>AF83 * (AJ83/100)</f>
        <v/>
      </c>
      <c r="AM83" s="16">
        <f>AI83</f>
        <v/>
      </c>
    </row>
    <row r="84">
      <c r="A84" s="11" t="n"/>
      <c r="B84" s="12" t="n"/>
      <c r="C84" s="13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4" t="n"/>
      <c r="M84" s="15">
        <f>IF(TODAY()&lt;F84, 0, IF(TODAY()&gt;G84, H84, H84 * (TODAY()-F84)/(G84-F84+1)))</f>
        <v/>
      </c>
      <c r="N84" s="15">
        <f>H84 * (L84/100)</f>
        <v/>
      </c>
      <c r="O84" s="16">
        <f>K84</f>
        <v/>
      </c>
      <c r="P84" s="12" t="n"/>
      <c r="Q84" s="12" t="n"/>
      <c r="R84" s="12" t="n"/>
      <c r="S84" s="12" t="n"/>
      <c r="T84" s="12" t="n"/>
      <c r="U84" s="12" t="n"/>
      <c r="V84" s="12" t="n"/>
      <c r="W84" s="12" t="n"/>
      <c r="X84" s="14" t="n"/>
      <c r="Y84" s="15">
        <f>IF(TODAY()&lt;R84, 0, IF(TODAY()&gt;S84, T84, T84 * (TODAY()-R84)/(S84-R84+1)))</f>
        <v/>
      </c>
      <c r="Z84" s="15">
        <f>T84 * (X84/100)</f>
        <v/>
      </c>
      <c r="AA84" s="16">
        <f>W84</f>
        <v/>
      </c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4" t="n"/>
      <c r="AK84" s="15">
        <f>IF(TODAY()&lt;AD84, 0, IF(TODAY()&gt;AE84, AF84, AF84 * (TODAY()-AD84)/(AE84-AD84+1)))</f>
        <v/>
      </c>
      <c r="AL84" s="15">
        <f>AF84 * (AJ84/100)</f>
        <v/>
      </c>
      <c r="AM84" s="16">
        <f>AI84</f>
        <v/>
      </c>
    </row>
    <row r="85">
      <c r="A85" s="11" t="n"/>
      <c r="B85" s="12" t="n"/>
      <c r="C85" s="13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4" t="n"/>
      <c r="M85" s="15">
        <f>IF(TODAY()&lt;F85, 0, IF(TODAY()&gt;G85, H85, H85 * (TODAY()-F85)/(G85-F85+1)))</f>
        <v/>
      </c>
      <c r="N85" s="15">
        <f>H85 * (L85/100)</f>
        <v/>
      </c>
      <c r="O85" s="16">
        <f>K85</f>
        <v/>
      </c>
      <c r="P85" s="12" t="n"/>
      <c r="Q85" s="12" t="n"/>
      <c r="R85" s="12" t="n"/>
      <c r="S85" s="12" t="n"/>
      <c r="T85" s="12" t="n"/>
      <c r="U85" s="12" t="n"/>
      <c r="V85" s="12" t="n"/>
      <c r="W85" s="12" t="n"/>
      <c r="X85" s="14" t="n"/>
      <c r="Y85" s="15">
        <f>IF(TODAY()&lt;R85, 0, IF(TODAY()&gt;S85, T85, T85 * (TODAY()-R85)/(S85-R85+1)))</f>
        <v/>
      </c>
      <c r="Z85" s="15">
        <f>T85 * (X85/100)</f>
        <v/>
      </c>
      <c r="AA85" s="16">
        <f>W85</f>
        <v/>
      </c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4" t="n"/>
      <c r="AK85" s="15">
        <f>IF(TODAY()&lt;AD85, 0, IF(TODAY()&gt;AE85, AF85, AF85 * (TODAY()-AD85)/(AE85-AD85+1)))</f>
        <v/>
      </c>
      <c r="AL85" s="15">
        <f>AF85 * (AJ85/100)</f>
        <v/>
      </c>
      <c r="AM85" s="16">
        <f>AI85</f>
        <v/>
      </c>
    </row>
    <row r="86">
      <c r="A86" s="11" t="n"/>
      <c r="B86" s="12" t="n"/>
      <c r="C86" s="13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4" t="n"/>
      <c r="M86" s="15">
        <f>IF(TODAY()&lt;F86, 0, IF(TODAY()&gt;G86, H86, H86 * (TODAY()-F86)/(G86-F86+1)))</f>
        <v/>
      </c>
      <c r="N86" s="15">
        <f>H86 * (L86/100)</f>
        <v/>
      </c>
      <c r="O86" s="16">
        <f>K86</f>
        <v/>
      </c>
      <c r="P86" s="12" t="n"/>
      <c r="Q86" s="12" t="n"/>
      <c r="R86" s="12" t="n"/>
      <c r="S86" s="12" t="n"/>
      <c r="T86" s="12" t="n"/>
      <c r="U86" s="12" t="n"/>
      <c r="V86" s="12" t="n"/>
      <c r="W86" s="12" t="n"/>
      <c r="X86" s="14" t="n"/>
      <c r="Y86" s="15">
        <f>IF(TODAY()&lt;R86, 0, IF(TODAY()&gt;S86, T86, T86 * (TODAY()-R86)/(S86-R86+1)))</f>
        <v/>
      </c>
      <c r="Z86" s="15">
        <f>T86 * (X86/100)</f>
        <v/>
      </c>
      <c r="AA86" s="16">
        <f>W86</f>
        <v/>
      </c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4" t="n"/>
      <c r="AK86" s="15">
        <f>IF(TODAY()&lt;AD86, 0, IF(TODAY()&gt;AE86, AF86, AF86 * (TODAY()-AD86)/(AE86-AD86+1)))</f>
        <v/>
      </c>
      <c r="AL86" s="15">
        <f>AF86 * (AJ86/100)</f>
        <v/>
      </c>
      <c r="AM86" s="16">
        <f>AI86</f>
        <v/>
      </c>
    </row>
    <row r="87">
      <c r="A87" s="11" t="n"/>
      <c r="B87" s="12" t="n"/>
      <c r="C87" s="13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4" t="n"/>
      <c r="M87" s="15">
        <f>IF(TODAY()&lt;F87, 0, IF(TODAY()&gt;G87, H87, H87 * (TODAY()-F87)/(G87-F87+1)))</f>
        <v/>
      </c>
      <c r="N87" s="15">
        <f>H87 * (L87/100)</f>
        <v/>
      </c>
      <c r="O87" s="16">
        <f>K87</f>
        <v/>
      </c>
      <c r="P87" s="12" t="n"/>
      <c r="Q87" s="12" t="n"/>
      <c r="R87" s="12" t="n"/>
      <c r="S87" s="12" t="n"/>
      <c r="T87" s="12" t="n"/>
      <c r="U87" s="12" t="n"/>
      <c r="V87" s="12" t="n"/>
      <c r="W87" s="12" t="n"/>
      <c r="X87" s="14" t="n"/>
      <c r="Y87" s="15">
        <f>IF(TODAY()&lt;R87, 0, IF(TODAY()&gt;S87, T87, T87 * (TODAY()-R87)/(S87-R87+1)))</f>
        <v/>
      </c>
      <c r="Z87" s="15">
        <f>T87 * (X87/100)</f>
        <v/>
      </c>
      <c r="AA87" s="16">
        <f>W87</f>
        <v/>
      </c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4" t="n"/>
      <c r="AK87" s="15">
        <f>IF(TODAY()&lt;AD87, 0, IF(TODAY()&gt;AE87, AF87, AF87 * (TODAY()-AD87)/(AE87-AD87+1)))</f>
        <v/>
      </c>
      <c r="AL87" s="15">
        <f>AF87 * (AJ87/100)</f>
        <v/>
      </c>
      <c r="AM87" s="16">
        <f>AI87</f>
        <v/>
      </c>
    </row>
    <row r="88">
      <c r="A88" s="11" t="n"/>
      <c r="B88" s="12" t="n"/>
      <c r="C88" s="13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4" t="n"/>
      <c r="M88" s="15">
        <f>IF(TODAY()&lt;F88, 0, IF(TODAY()&gt;G88, H88, H88 * (TODAY()-F88)/(G88-F88+1)))</f>
        <v/>
      </c>
      <c r="N88" s="15">
        <f>H88 * (L88/100)</f>
        <v/>
      </c>
      <c r="O88" s="16">
        <f>K88</f>
        <v/>
      </c>
      <c r="P88" s="12" t="n"/>
      <c r="Q88" s="12" t="n"/>
      <c r="R88" s="12" t="n"/>
      <c r="S88" s="12" t="n"/>
      <c r="T88" s="12" t="n"/>
      <c r="U88" s="12" t="n"/>
      <c r="V88" s="12" t="n"/>
      <c r="W88" s="12" t="n"/>
      <c r="X88" s="14" t="n"/>
      <c r="Y88" s="15">
        <f>IF(TODAY()&lt;R88, 0, IF(TODAY()&gt;S88, T88, T88 * (TODAY()-R88)/(S88-R88+1)))</f>
        <v/>
      </c>
      <c r="Z88" s="15">
        <f>T88 * (X88/100)</f>
        <v/>
      </c>
      <c r="AA88" s="16">
        <f>W88</f>
        <v/>
      </c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4" t="n"/>
      <c r="AK88" s="15">
        <f>IF(TODAY()&lt;AD88, 0, IF(TODAY()&gt;AE88, AF88, AF88 * (TODAY()-AD88)/(AE88-AD88+1)))</f>
        <v/>
      </c>
      <c r="AL88" s="15">
        <f>AF88 * (AJ88/100)</f>
        <v/>
      </c>
      <c r="AM88" s="16">
        <f>AI88</f>
        <v/>
      </c>
    </row>
    <row r="89">
      <c r="A89" s="11" t="n"/>
      <c r="B89" s="12" t="n"/>
      <c r="C89" s="13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4" t="n"/>
      <c r="M89" s="15">
        <f>IF(TODAY()&lt;F89, 0, IF(TODAY()&gt;G89, H89, H89 * (TODAY()-F89)/(G89-F89+1)))</f>
        <v/>
      </c>
      <c r="N89" s="15">
        <f>H89 * (L89/100)</f>
        <v/>
      </c>
      <c r="O89" s="16">
        <f>K89</f>
        <v/>
      </c>
      <c r="P89" s="12" t="n"/>
      <c r="Q89" s="12" t="n"/>
      <c r="R89" s="12" t="n"/>
      <c r="S89" s="12" t="n"/>
      <c r="T89" s="12" t="n"/>
      <c r="U89" s="12" t="n"/>
      <c r="V89" s="12" t="n"/>
      <c r="W89" s="12" t="n"/>
      <c r="X89" s="14" t="n"/>
      <c r="Y89" s="15">
        <f>IF(TODAY()&lt;R89, 0, IF(TODAY()&gt;S89, T89, T89 * (TODAY()-R89)/(S89-R89+1)))</f>
        <v/>
      </c>
      <c r="Z89" s="15">
        <f>T89 * (X89/100)</f>
        <v/>
      </c>
      <c r="AA89" s="16">
        <f>W89</f>
        <v/>
      </c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4" t="n"/>
      <c r="AK89" s="15">
        <f>IF(TODAY()&lt;AD89, 0, IF(TODAY()&gt;AE89, AF89, AF89 * (TODAY()-AD89)/(AE89-AD89+1)))</f>
        <v/>
      </c>
      <c r="AL89" s="15">
        <f>AF89 * (AJ89/100)</f>
        <v/>
      </c>
      <c r="AM89" s="16">
        <f>AI89</f>
        <v/>
      </c>
    </row>
    <row r="90">
      <c r="A90" s="11" t="n"/>
      <c r="B90" s="12" t="n"/>
      <c r="C90" s="13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4" t="n"/>
      <c r="M90" s="15">
        <f>IF(TODAY()&lt;F90, 0, IF(TODAY()&gt;G90, H90, H90 * (TODAY()-F90)/(G90-F90+1)))</f>
        <v/>
      </c>
      <c r="N90" s="15">
        <f>H90 * (L90/100)</f>
        <v/>
      </c>
      <c r="O90" s="16">
        <f>K90</f>
        <v/>
      </c>
      <c r="P90" s="12" t="n"/>
      <c r="Q90" s="12" t="n"/>
      <c r="R90" s="12" t="n"/>
      <c r="S90" s="12" t="n"/>
      <c r="T90" s="12" t="n"/>
      <c r="U90" s="12" t="n"/>
      <c r="V90" s="12" t="n"/>
      <c r="W90" s="12" t="n"/>
      <c r="X90" s="14" t="n"/>
      <c r="Y90" s="15">
        <f>IF(TODAY()&lt;R90, 0, IF(TODAY()&gt;S90, T90, T90 * (TODAY()-R90)/(S90-R90+1)))</f>
        <v/>
      </c>
      <c r="Z90" s="15">
        <f>T90 * (X90/100)</f>
        <v/>
      </c>
      <c r="AA90" s="16">
        <f>W90</f>
        <v/>
      </c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4" t="n"/>
      <c r="AK90" s="15">
        <f>IF(TODAY()&lt;AD90, 0, IF(TODAY()&gt;AE90, AF90, AF90 * (TODAY()-AD90)/(AE90-AD90+1)))</f>
        <v/>
      </c>
      <c r="AL90" s="15">
        <f>AF90 * (AJ90/100)</f>
        <v/>
      </c>
      <c r="AM90" s="16">
        <f>AI90</f>
        <v/>
      </c>
    </row>
    <row r="91">
      <c r="A91" s="11" t="n"/>
      <c r="B91" s="12" t="n"/>
      <c r="C91" s="13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4" t="n"/>
      <c r="M91" s="15">
        <f>IF(TODAY()&lt;F91, 0, IF(TODAY()&gt;G91, H91, H91 * (TODAY()-F91)/(G91-F91+1)))</f>
        <v/>
      </c>
      <c r="N91" s="15">
        <f>H91 * (L91/100)</f>
        <v/>
      </c>
      <c r="O91" s="16">
        <f>K91</f>
        <v/>
      </c>
      <c r="P91" s="12" t="n"/>
      <c r="Q91" s="12" t="n"/>
      <c r="R91" s="12" t="n"/>
      <c r="S91" s="12" t="n"/>
      <c r="T91" s="12" t="n"/>
      <c r="U91" s="12" t="n"/>
      <c r="V91" s="12" t="n"/>
      <c r="W91" s="12" t="n"/>
      <c r="X91" s="14" t="n"/>
      <c r="Y91" s="15">
        <f>IF(TODAY()&lt;R91, 0, IF(TODAY()&gt;S91, T91, T91 * (TODAY()-R91)/(S91-R91+1)))</f>
        <v/>
      </c>
      <c r="Z91" s="15">
        <f>T91 * (X91/100)</f>
        <v/>
      </c>
      <c r="AA91" s="16">
        <f>W91</f>
        <v/>
      </c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4" t="n"/>
      <c r="AK91" s="15">
        <f>IF(TODAY()&lt;AD91, 0, IF(TODAY()&gt;AE91, AF91, AF91 * (TODAY()-AD91)/(AE91-AD91+1)))</f>
        <v/>
      </c>
      <c r="AL91" s="15">
        <f>AF91 * (AJ91/100)</f>
        <v/>
      </c>
      <c r="AM91" s="16">
        <f>AI91</f>
        <v/>
      </c>
    </row>
    <row r="92">
      <c r="A92" s="11" t="n"/>
      <c r="B92" s="12" t="n"/>
      <c r="C92" s="13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4" t="n"/>
      <c r="M92" s="15">
        <f>IF(TODAY()&lt;F92, 0, IF(TODAY()&gt;G92, H92, H92 * (TODAY()-F92)/(G92-F92+1)))</f>
        <v/>
      </c>
      <c r="N92" s="15">
        <f>H92 * (L92/100)</f>
        <v/>
      </c>
      <c r="O92" s="16">
        <f>K92</f>
        <v/>
      </c>
      <c r="P92" s="12" t="n"/>
      <c r="Q92" s="12" t="n"/>
      <c r="R92" s="12" t="n"/>
      <c r="S92" s="12" t="n"/>
      <c r="T92" s="12" t="n"/>
      <c r="U92" s="12" t="n"/>
      <c r="V92" s="12" t="n"/>
      <c r="W92" s="12" t="n"/>
      <c r="X92" s="14" t="n"/>
      <c r="Y92" s="15">
        <f>IF(TODAY()&lt;R92, 0, IF(TODAY()&gt;S92, T92, T92 * (TODAY()-R92)/(S92-R92+1)))</f>
        <v/>
      </c>
      <c r="Z92" s="15">
        <f>T92 * (X92/100)</f>
        <v/>
      </c>
      <c r="AA92" s="16">
        <f>W92</f>
        <v/>
      </c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4" t="n"/>
      <c r="AK92" s="15">
        <f>IF(TODAY()&lt;AD92, 0, IF(TODAY()&gt;AE92, AF92, AF92 * (TODAY()-AD92)/(AE92-AD92+1)))</f>
        <v/>
      </c>
      <c r="AL92" s="15">
        <f>AF92 * (AJ92/100)</f>
        <v/>
      </c>
      <c r="AM92" s="16">
        <f>AI92</f>
        <v/>
      </c>
    </row>
    <row r="93">
      <c r="A93" s="11" t="n"/>
      <c r="B93" s="12" t="n"/>
      <c r="C93" s="13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4" t="n"/>
      <c r="M93" s="15">
        <f>IF(TODAY()&lt;F93, 0, IF(TODAY()&gt;G93, H93, H93 * (TODAY()-F93)/(G93-F93+1)))</f>
        <v/>
      </c>
      <c r="N93" s="15">
        <f>H93 * (L93/100)</f>
        <v/>
      </c>
      <c r="O93" s="16">
        <f>K93</f>
        <v/>
      </c>
      <c r="P93" s="12" t="n"/>
      <c r="Q93" s="12" t="n"/>
      <c r="R93" s="12" t="n"/>
      <c r="S93" s="12" t="n"/>
      <c r="T93" s="12" t="n"/>
      <c r="U93" s="12" t="n"/>
      <c r="V93" s="12" t="n"/>
      <c r="W93" s="12" t="n"/>
      <c r="X93" s="14" t="n"/>
      <c r="Y93" s="15">
        <f>IF(TODAY()&lt;R93, 0, IF(TODAY()&gt;S93, T93, T93 * (TODAY()-R93)/(S93-R93+1)))</f>
        <v/>
      </c>
      <c r="Z93" s="15">
        <f>T93 * (X93/100)</f>
        <v/>
      </c>
      <c r="AA93" s="16">
        <f>W93</f>
        <v/>
      </c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4" t="n"/>
      <c r="AK93" s="15">
        <f>IF(TODAY()&lt;AD93, 0, IF(TODAY()&gt;AE93, AF93, AF93 * (TODAY()-AD93)/(AE93-AD93+1)))</f>
        <v/>
      </c>
      <c r="AL93" s="15">
        <f>AF93 * (AJ93/100)</f>
        <v/>
      </c>
      <c r="AM93" s="16">
        <f>AI93</f>
        <v/>
      </c>
    </row>
    <row r="94">
      <c r="A94" s="11" t="n"/>
      <c r="B94" s="12" t="n"/>
      <c r="C94" s="13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4" t="n"/>
      <c r="M94" s="15">
        <f>IF(TODAY()&lt;F94, 0, IF(TODAY()&gt;G94, H94, H94 * (TODAY()-F94)/(G94-F94+1)))</f>
        <v/>
      </c>
      <c r="N94" s="15">
        <f>H94 * (L94/100)</f>
        <v/>
      </c>
      <c r="O94" s="16">
        <f>K94</f>
        <v/>
      </c>
      <c r="P94" s="12" t="n"/>
      <c r="Q94" s="12" t="n"/>
      <c r="R94" s="12" t="n"/>
      <c r="S94" s="12" t="n"/>
      <c r="T94" s="12" t="n"/>
      <c r="U94" s="12" t="n"/>
      <c r="V94" s="12" t="n"/>
      <c r="W94" s="12" t="n"/>
      <c r="X94" s="14" t="n"/>
      <c r="Y94" s="15">
        <f>IF(TODAY()&lt;R94, 0, IF(TODAY()&gt;S94, T94, T94 * (TODAY()-R94)/(S94-R94+1)))</f>
        <v/>
      </c>
      <c r="Z94" s="15">
        <f>T94 * (X94/100)</f>
        <v/>
      </c>
      <c r="AA94" s="16">
        <f>W94</f>
        <v/>
      </c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4" t="n"/>
      <c r="AK94" s="15">
        <f>IF(TODAY()&lt;AD94, 0, IF(TODAY()&gt;AE94, AF94, AF94 * (TODAY()-AD94)/(AE94-AD94+1)))</f>
        <v/>
      </c>
      <c r="AL94" s="15">
        <f>AF94 * (AJ94/100)</f>
        <v/>
      </c>
      <c r="AM94" s="16">
        <f>AI94</f>
        <v/>
      </c>
    </row>
    <row r="95">
      <c r="A95" s="11" t="n"/>
      <c r="B95" s="12" t="n"/>
      <c r="C95" s="13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4" t="n"/>
      <c r="M95" s="15">
        <f>IF(TODAY()&lt;F95, 0, IF(TODAY()&gt;G95, H95, H95 * (TODAY()-F95)/(G95-F95+1)))</f>
        <v/>
      </c>
      <c r="N95" s="15">
        <f>H95 * (L95/100)</f>
        <v/>
      </c>
      <c r="O95" s="16">
        <f>K95</f>
        <v/>
      </c>
      <c r="P95" s="12" t="n"/>
      <c r="Q95" s="12" t="n"/>
      <c r="R95" s="12" t="n"/>
      <c r="S95" s="12" t="n"/>
      <c r="T95" s="12" t="n"/>
      <c r="U95" s="12" t="n"/>
      <c r="V95" s="12" t="n"/>
      <c r="W95" s="12" t="n"/>
      <c r="X95" s="14" t="n"/>
      <c r="Y95" s="15">
        <f>IF(TODAY()&lt;R95, 0, IF(TODAY()&gt;S95, T95, T95 * (TODAY()-R95)/(S95-R95+1)))</f>
        <v/>
      </c>
      <c r="Z95" s="15">
        <f>T95 * (X95/100)</f>
        <v/>
      </c>
      <c r="AA95" s="16">
        <f>W95</f>
        <v/>
      </c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4" t="n"/>
      <c r="AK95" s="15">
        <f>IF(TODAY()&lt;AD95, 0, IF(TODAY()&gt;AE95, AF95, AF95 * (TODAY()-AD95)/(AE95-AD95+1)))</f>
        <v/>
      </c>
      <c r="AL95" s="15">
        <f>AF95 * (AJ95/100)</f>
        <v/>
      </c>
      <c r="AM95" s="16">
        <f>AI95</f>
        <v/>
      </c>
    </row>
    <row r="96">
      <c r="A96" s="11" t="n"/>
      <c r="B96" s="12" t="n"/>
      <c r="C96" s="13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4" t="n"/>
      <c r="M96" s="15">
        <f>IF(TODAY()&lt;F96, 0, IF(TODAY()&gt;G96, H96, H96 * (TODAY()-F96)/(G96-F96+1)))</f>
        <v/>
      </c>
      <c r="N96" s="15">
        <f>H96 * (L96/100)</f>
        <v/>
      </c>
      <c r="O96" s="16">
        <f>K96</f>
        <v/>
      </c>
      <c r="P96" s="12" t="n"/>
      <c r="Q96" s="12" t="n"/>
      <c r="R96" s="12" t="n"/>
      <c r="S96" s="12" t="n"/>
      <c r="T96" s="12" t="n"/>
      <c r="U96" s="12" t="n"/>
      <c r="V96" s="12" t="n"/>
      <c r="W96" s="12" t="n"/>
      <c r="X96" s="14" t="n"/>
      <c r="Y96" s="15">
        <f>IF(TODAY()&lt;R96, 0, IF(TODAY()&gt;S96, T96, T96 * (TODAY()-R96)/(S96-R96+1)))</f>
        <v/>
      </c>
      <c r="Z96" s="15">
        <f>T96 * (X96/100)</f>
        <v/>
      </c>
      <c r="AA96" s="16">
        <f>W96</f>
        <v/>
      </c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4" t="n"/>
      <c r="AK96" s="15">
        <f>IF(TODAY()&lt;AD96, 0, IF(TODAY()&gt;AE96, AF96, AF96 * (TODAY()-AD96)/(AE96-AD96+1)))</f>
        <v/>
      </c>
      <c r="AL96" s="15">
        <f>AF96 * (AJ96/100)</f>
        <v/>
      </c>
      <c r="AM96" s="16">
        <f>AI96</f>
        <v/>
      </c>
    </row>
    <row r="97">
      <c r="A97" s="11" t="n"/>
      <c r="B97" s="12" t="n"/>
      <c r="C97" s="13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4" t="n"/>
      <c r="M97" s="15">
        <f>IF(TODAY()&lt;F97, 0, IF(TODAY()&gt;G97, H97, H97 * (TODAY()-F97)/(G97-F97+1)))</f>
        <v/>
      </c>
      <c r="N97" s="15">
        <f>H97 * (L97/100)</f>
        <v/>
      </c>
      <c r="O97" s="16">
        <f>K97</f>
        <v/>
      </c>
      <c r="P97" s="12" t="n"/>
      <c r="Q97" s="12" t="n"/>
      <c r="R97" s="12" t="n"/>
      <c r="S97" s="12" t="n"/>
      <c r="T97" s="12" t="n"/>
      <c r="U97" s="12" t="n"/>
      <c r="V97" s="12" t="n"/>
      <c r="W97" s="12" t="n"/>
      <c r="X97" s="14" t="n"/>
      <c r="Y97" s="15">
        <f>IF(TODAY()&lt;R97, 0, IF(TODAY()&gt;S97, T97, T97 * (TODAY()-R97)/(S97-R97+1)))</f>
        <v/>
      </c>
      <c r="Z97" s="15">
        <f>T97 * (X97/100)</f>
        <v/>
      </c>
      <c r="AA97" s="16">
        <f>W97</f>
        <v/>
      </c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4" t="n"/>
      <c r="AK97" s="15">
        <f>IF(TODAY()&lt;AD97, 0, IF(TODAY()&gt;AE97, AF97, AF97 * (TODAY()-AD97)/(AE97-AD97+1)))</f>
        <v/>
      </c>
      <c r="AL97" s="15">
        <f>AF97 * (AJ97/100)</f>
        <v/>
      </c>
      <c r="AM97" s="16">
        <f>AI97</f>
        <v/>
      </c>
    </row>
    <row r="98">
      <c r="A98" s="11" t="n"/>
      <c r="B98" s="12" t="n"/>
      <c r="C98" s="13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4" t="n"/>
      <c r="M98" s="15">
        <f>IF(TODAY()&lt;F98, 0, IF(TODAY()&gt;G98, H98, H98 * (TODAY()-F98)/(G98-F98+1)))</f>
        <v/>
      </c>
      <c r="N98" s="15">
        <f>H98 * (L98/100)</f>
        <v/>
      </c>
      <c r="O98" s="16">
        <f>K98</f>
        <v/>
      </c>
      <c r="P98" s="12" t="n"/>
      <c r="Q98" s="12" t="n"/>
      <c r="R98" s="12" t="n"/>
      <c r="S98" s="12" t="n"/>
      <c r="T98" s="12" t="n"/>
      <c r="U98" s="12" t="n"/>
      <c r="V98" s="12" t="n"/>
      <c r="W98" s="12" t="n"/>
      <c r="X98" s="14" t="n"/>
      <c r="Y98" s="15">
        <f>IF(TODAY()&lt;R98, 0, IF(TODAY()&gt;S98, T98, T98 * (TODAY()-R98)/(S98-R98+1)))</f>
        <v/>
      </c>
      <c r="Z98" s="15">
        <f>T98 * (X98/100)</f>
        <v/>
      </c>
      <c r="AA98" s="16">
        <f>W98</f>
        <v/>
      </c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4" t="n"/>
      <c r="AK98" s="15">
        <f>IF(TODAY()&lt;AD98, 0, IF(TODAY()&gt;AE98, AF98, AF98 * (TODAY()-AD98)/(AE98-AD98+1)))</f>
        <v/>
      </c>
      <c r="AL98" s="15">
        <f>AF98 * (AJ98/100)</f>
        <v/>
      </c>
      <c r="AM98" s="16">
        <f>AI98</f>
        <v/>
      </c>
    </row>
    <row r="99">
      <c r="A99" s="11" t="n"/>
      <c r="B99" s="12" t="n"/>
      <c r="C99" s="13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4" t="n"/>
      <c r="M99" s="15">
        <f>IF(TODAY()&lt;F99, 0, IF(TODAY()&gt;G99, H99, H99 * (TODAY()-F99)/(G99-F99+1)))</f>
        <v/>
      </c>
      <c r="N99" s="15">
        <f>H99 * (L99/100)</f>
        <v/>
      </c>
      <c r="O99" s="16">
        <f>K99</f>
        <v/>
      </c>
      <c r="P99" s="12" t="n"/>
      <c r="Q99" s="12" t="n"/>
      <c r="R99" s="12" t="n"/>
      <c r="S99" s="12" t="n"/>
      <c r="T99" s="12" t="n"/>
      <c r="U99" s="12" t="n"/>
      <c r="V99" s="12" t="n"/>
      <c r="W99" s="12" t="n"/>
      <c r="X99" s="14" t="n"/>
      <c r="Y99" s="15">
        <f>IF(TODAY()&lt;R99, 0, IF(TODAY()&gt;S99, T99, T99 * (TODAY()-R99)/(S99-R99+1)))</f>
        <v/>
      </c>
      <c r="Z99" s="15">
        <f>T99 * (X99/100)</f>
        <v/>
      </c>
      <c r="AA99" s="16">
        <f>W99</f>
        <v/>
      </c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4" t="n"/>
      <c r="AK99" s="15">
        <f>IF(TODAY()&lt;AD99, 0, IF(TODAY()&gt;AE99, AF99, AF99 * (TODAY()-AD99)/(AE99-AD99+1)))</f>
        <v/>
      </c>
      <c r="AL99" s="15">
        <f>AF99 * (AJ99/100)</f>
        <v/>
      </c>
      <c r="AM99" s="16">
        <f>AI99</f>
        <v/>
      </c>
    </row>
    <row r="100">
      <c r="A100" s="11" t="n"/>
      <c r="B100" s="12" t="n"/>
      <c r="C100" s="13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4" t="n"/>
      <c r="M100" s="15">
        <f>IF(TODAY()&lt;F100, 0, IF(TODAY()&gt;G100, H100, H100 * (TODAY()-F100)/(G100-F100+1)))</f>
        <v/>
      </c>
      <c r="N100" s="15">
        <f>H100 * (L100/100)</f>
        <v/>
      </c>
      <c r="O100" s="16">
        <f>K100</f>
        <v/>
      </c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4" t="n"/>
      <c r="Y100" s="15">
        <f>IF(TODAY()&lt;R100, 0, IF(TODAY()&gt;S100, T100, T100 * (TODAY()-R100)/(S100-R100+1)))</f>
        <v/>
      </c>
      <c r="Z100" s="15">
        <f>T100 * (X100/100)</f>
        <v/>
      </c>
      <c r="AA100" s="16">
        <f>W100</f>
        <v/>
      </c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4" t="n"/>
      <c r="AK100" s="15">
        <f>IF(TODAY()&lt;AD100, 0, IF(TODAY()&gt;AE100, AF100, AF100 * (TODAY()-AD100)/(AE100-AD100+1)))</f>
        <v/>
      </c>
      <c r="AL100" s="15">
        <f>AF100 * (AJ100/100)</f>
        <v/>
      </c>
      <c r="AM100" s="16">
        <f>AI100</f>
        <v/>
      </c>
    </row>
    <row r="101">
      <c r="A101" s="11" t="n"/>
      <c r="B101" s="12" t="n"/>
      <c r="C101" s="13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4" t="n"/>
      <c r="M101" s="15">
        <f>IF(TODAY()&lt;F101, 0, IF(TODAY()&gt;G101, H101, H101 * (TODAY()-F101)/(G101-F101+1)))</f>
        <v/>
      </c>
      <c r="N101" s="15">
        <f>H101 * (L101/100)</f>
        <v/>
      </c>
      <c r="O101" s="16">
        <f>K101</f>
        <v/>
      </c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n"/>
      <c r="Y101" s="15">
        <f>IF(TODAY()&lt;R101, 0, IF(TODAY()&gt;S101, T101, T101 * (TODAY()-R101)/(S101-R101+1)))</f>
        <v/>
      </c>
      <c r="Z101" s="15">
        <f>T101 * (X101/100)</f>
        <v/>
      </c>
      <c r="AA101" s="16">
        <f>W101</f>
        <v/>
      </c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4" t="n"/>
      <c r="AK101" s="15">
        <f>IF(TODAY()&lt;AD101, 0, IF(TODAY()&gt;AE101, AF101, AF101 * (TODAY()-AD101)/(AE101-AD101+1)))</f>
        <v/>
      </c>
      <c r="AL101" s="15">
        <f>AF101 * (AJ101/100)</f>
        <v/>
      </c>
      <c r="AM101" s="16">
        <f>AI101</f>
        <v/>
      </c>
    </row>
    <row r="102">
      <c r="A102" s="17" t="n"/>
      <c r="B102" s="18" t="n"/>
      <c r="C102" s="19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20" t="n"/>
      <c r="M102" s="21">
        <f>IF(TODAY()&lt;F102, 0, IF(TODAY()&gt;G102, H102, H102 * (TODAY()-F102)/(G102-F102+1)))</f>
        <v/>
      </c>
      <c r="N102" s="21">
        <f>H102 * (L102/100)</f>
        <v/>
      </c>
      <c r="O102" s="22">
        <f>K102</f>
        <v/>
      </c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20" t="n"/>
      <c r="Y102" s="21">
        <f>IF(TODAY()&lt;R102, 0, IF(TODAY()&gt;S102, T102, T102 * (TODAY()-R102)/(S102-R102+1)))</f>
        <v/>
      </c>
      <c r="Z102" s="21">
        <f>T102 * (X102/100)</f>
        <v/>
      </c>
      <c r="AA102" s="22">
        <f>W102</f>
        <v/>
      </c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20" t="n"/>
      <c r="AK102" s="21">
        <f>IF(TODAY()&lt;AD102, 0, IF(TODAY()&gt;AE102, AF102, AF102 * (TODAY()-AD102)/(AE102-AD102+1)))</f>
        <v/>
      </c>
      <c r="AL102" s="21">
        <f>AF102 * (AJ102/100)</f>
        <v/>
      </c>
      <c r="AM102" s="22">
        <f>AI102</f>
        <v/>
      </c>
    </row>
  </sheetData>
  <mergeCells count="3">
    <mergeCell ref="P1:AA1"/>
    <mergeCell ref="AB1:AM1"/>
    <mergeCell ref="D1:O1"/>
  </mergeCells>
  <conditionalFormatting sqref="M3:M103">
    <cfRule type="cellIs" priority="1" operator="lessThan" dxfId="0">
      <formula>0</formula>
    </cfRule>
  </conditionalFormatting>
  <conditionalFormatting sqref="Y3:Y103">
    <cfRule type="cellIs" priority="2" operator="lessThan" dxfId="0">
      <formula>0</formula>
    </cfRule>
  </conditionalFormatting>
  <conditionalFormatting sqref="AK3:AK103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Aさんチーム</t>
        </is>
      </c>
      <c r="B1" s="3" t="n"/>
      <c r="C1" s="3" t="n"/>
      <c r="D1" s="3" t="n"/>
      <c r="E1" s="3" t="n"/>
      <c r="F1" s="3" t="n"/>
      <c r="G1" s="3" t="n"/>
      <c r="H1" s="4" t="n"/>
    </row>
    <row r="2">
      <c r="A2" s="24" t="inlineStr">
        <is>
          <t>EVM指標集計</t>
        </is>
      </c>
      <c r="B2" s="12" t="n"/>
      <c r="C2" s="12" t="n"/>
      <c r="D2" s="12" t="n"/>
      <c r="E2" s="12" t="n"/>
      <c r="F2" s="12" t="n"/>
      <c r="G2" s="12" t="n"/>
      <c r="H2" s="13" t="n"/>
    </row>
    <row r="3">
      <c r="A3" s="25" t="inlineStr">
        <is>
          <t>フェーズ</t>
        </is>
      </c>
      <c r="B3" s="26" t="inlineStr">
        <is>
          <t>PV (計画値)</t>
        </is>
      </c>
      <c r="C3" s="26" t="inlineStr">
        <is>
          <t>EV (出来高)</t>
        </is>
      </c>
      <c r="D3" s="26" t="inlineStr">
        <is>
          <t>AC (実績コスト)</t>
        </is>
      </c>
      <c r="E3" s="26" t="inlineStr">
        <is>
          <t>SV</t>
        </is>
      </c>
      <c r="F3" s="26" t="inlineStr">
        <is>
          <t>CV</t>
        </is>
      </c>
      <c r="G3" s="26" t="inlineStr">
        <is>
          <t>SPI</t>
        </is>
      </c>
      <c r="H3" s="27" t="inlineStr">
        <is>
          <t>CPI</t>
        </is>
      </c>
    </row>
    <row r="4">
      <c r="A4" s="11" t="inlineStr">
        <is>
          <t>作成</t>
        </is>
      </c>
      <c r="B4" s="12">
        <f>SUMIFS(WBS_EVM!M:M, WBS_EVM!$E:$E, "Aさん")</f>
        <v/>
      </c>
      <c r="C4" s="12">
        <f>SUMIFS(WBS_EVM!N:N, WBS_EVM!$E:$E, "Aさん")</f>
        <v/>
      </c>
      <c r="D4" s="12">
        <f>SUMIFS(WBS_EVM!O:O, WBS_EVM!$E:$E, "Aさん")</f>
        <v/>
      </c>
      <c r="E4" s="12">
        <f>C4-B4</f>
        <v/>
      </c>
      <c r="F4" s="12">
        <f>C4-D4</f>
        <v/>
      </c>
      <c r="G4" s="12">
        <f>IFERROR(C4/B4, 1)</f>
        <v/>
      </c>
      <c r="H4" s="13">
        <f>IFERROR(C4/D4, 1)</f>
        <v/>
      </c>
    </row>
    <row r="5">
      <c r="A5" s="11" t="inlineStr">
        <is>
          <t>レビュー実施</t>
        </is>
      </c>
      <c r="B5" s="12">
        <f>SUMIFS(WBS_EVM!Y:Y, WBS_EVM!$Q:$Q, "Aさん")</f>
        <v/>
      </c>
      <c r="C5" s="12">
        <f>SUMIFS(WBS_EVM!Z:Z, WBS_EVM!$Q:$Q, "Aさん")</f>
        <v/>
      </c>
      <c r="D5" s="12">
        <f>SUMIFS(WBS_EVM!AA:AA, WBS_EVM!$Q:$Q, "Aさん")</f>
        <v/>
      </c>
      <c r="E5" s="12">
        <f>C5-B5</f>
        <v/>
      </c>
      <c r="F5" s="12">
        <f>C5-D5</f>
        <v/>
      </c>
      <c r="G5" s="12">
        <f>IFERROR(C5/B5, 1)</f>
        <v/>
      </c>
      <c r="H5" s="13">
        <f>IFERROR(C5/D5, 1)</f>
        <v/>
      </c>
    </row>
    <row r="6">
      <c r="A6" s="11" t="inlineStr">
        <is>
          <t>レビュー後修正</t>
        </is>
      </c>
      <c r="B6" s="12">
        <f>SUMIFS(WBS_EVM!AK:AK, WBS_EVM!$AC:$AC, "Aさん")</f>
        <v/>
      </c>
      <c r="C6" s="12">
        <f>SUMIFS(WBS_EVM!AL:AL, WBS_EVM!$AC:$AC, "Aさん")</f>
        <v/>
      </c>
      <c r="D6" s="12">
        <f>SUMIFS(WBS_EVM!AM:AM, WBS_EVM!$AC:$AC, "Aさん")</f>
        <v/>
      </c>
      <c r="E6" s="12">
        <f>C6-B6</f>
        <v/>
      </c>
      <c r="F6" s="12">
        <f>C6-D6</f>
        <v/>
      </c>
      <c r="G6" s="12">
        <f>IFERROR(C6/B6, 1)</f>
        <v/>
      </c>
      <c r="H6" s="13">
        <f>IFERROR(C6/D6, 1)</f>
        <v/>
      </c>
    </row>
    <row r="7">
      <c r="A7" s="11" t="n"/>
      <c r="B7" s="12" t="n"/>
      <c r="C7" s="12" t="n"/>
      <c r="D7" s="12" t="n"/>
      <c r="E7" s="12" t="n"/>
      <c r="F7" s="12" t="n"/>
      <c r="G7" s="12" t="n"/>
      <c r="H7" s="13" t="n"/>
    </row>
    <row r="8">
      <c r="A8" s="24" t="inlineStr">
        <is>
          <t>タスクメトリクス</t>
        </is>
      </c>
      <c r="B8" s="12" t="n"/>
      <c r="C8" s="12" t="n"/>
      <c r="D8" s="12" t="n"/>
      <c r="E8" s="12" t="n"/>
      <c r="F8" s="12" t="n"/>
      <c r="G8" s="12" t="n"/>
      <c r="H8" s="13" t="n"/>
    </row>
    <row r="9">
      <c r="A9" s="25" t="inlineStr">
        <is>
          <t>フェーズ</t>
        </is>
      </c>
      <c r="B9" s="26" t="inlineStr">
        <is>
          <t>総数</t>
        </is>
      </c>
      <c r="C9" s="26" t="inlineStr">
        <is>
          <t>仕掛かり(予定)</t>
        </is>
      </c>
      <c r="D9" s="26" t="inlineStr">
        <is>
          <t>仕掛かり(実績)</t>
        </is>
      </c>
      <c r="E9" s="26" t="inlineStr">
        <is>
          <t>完了(予定)</t>
        </is>
      </c>
      <c r="F9" s="26" t="inlineStr">
        <is>
          <t>完了(実績)</t>
        </is>
      </c>
      <c r="G9" s="12" t="n"/>
      <c r="H9" s="13" t="n"/>
    </row>
    <row r="10">
      <c r="A10" s="11" t="inlineStr">
        <is>
          <t>作成</t>
        </is>
      </c>
      <c r="B10" s="12">
        <f>COUNTIFS(WBS_EVM!$E:$E, "Aさん", WBS_EVM!$H:$H, "&gt;0")</f>
        <v/>
      </c>
      <c r="C10" s="12" t="n"/>
      <c r="D10" s="12" t="n"/>
      <c r="E10" s="12" t="n"/>
      <c r="F10" s="12">
        <f>COUNTIFS(WBS_EVM!$E:$E, "Aさん", WBS_EVM!$K:$K, "&lt;&gt;")</f>
        <v/>
      </c>
      <c r="G10" s="12" t="n"/>
      <c r="H10" s="13" t="n"/>
    </row>
    <row r="11">
      <c r="A11" s="11" t="inlineStr">
        <is>
          <t>レビュー実施</t>
        </is>
      </c>
      <c r="B11" s="12">
        <f>COUNTIFS(WBS_EVM!$Q:$Q, "Aさん", WBS_EVM!$T:$T, "&gt;0")</f>
        <v/>
      </c>
      <c r="C11" s="12" t="n"/>
      <c r="D11" s="12" t="n"/>
      <c r="E11" s="12" t="n"/>
      <c r="F11" s="12">
        <f>COUNTIFS(WBS_EVM!$Q:$Q, "Aさん", WBS_EVM!$W:$W, "&lt;&gt;")</f>
        <v/>
      </c>
      <c r="G11" s="12" t="n"/>
      <c r="H11" s="13" t="n"/>
    </row>
    <row r="12">
      <c r="A12" s="17" t="inlineStr">
        <is>
          <t>レビュー後修正</t>
        </is>
      </c>
      <c r="B12" s="18">
        <f>COUNTIFS(WBS_EVM!$AC:$AC, "Aさん", WBS_EVM!$AF:$AF, "&gt;0")</f>
        <v/>
      </c>
      <c r="C12" s="18" t="n"/>
      <c r="D12" s="18" t="n"/>
      <c r="E12" s="18" t="n"/>
      <c r="F12" s="18">
        <f>COUNTIFS(WBS_EVM!$AC:$AC, "Aさん", WBS_EVM!$AI:$AI, "&lt;&gt;")</f>
        <v/>
      </c>
      <c r="G12" s="18" t="n"/>
      <c r="H12" s="19" t="n"/>
    </row>
    <row r="15">
      <c r="A15" s="23" t="inlineStr">
        <is>
          <t>Dさんチーム</t>
        </is>
      </c>
      <c r="B15" s="3" t="n"/>
      <c r="C15" s="3" t="n"/>
      <c r="D15" s="3" t="n"/>
      <c r="E15" s="3" t="n"/>
      <c r="F15" s="3" t="n"/>
      <c r="G15" s="3" t="n"/>
      <c r="H15" s="4" t="n"/>
    </row>
    <row r="16">
      <c r="A16" s="24" t="inlineStr">
        <is>
          <t>EVM指標集計</t>
        </is>
      </c>
      <c r="B16" s="12" t="n"/>
      <c r="C16" s="12" t="n"/>
      <c r="D16" s="12" t="n"/>
      <c r="E16" s="12" t="n"/>
      <c r="F16" s="12" t="n"/>
      <c r="G16" s="12" t="n"/>
      <c r="H16" s="13" t="n"/>
    </row>
    <row r="17">
      <c r="A17" s="25" t="inlineStr">
        <is>
          <t>フェーズ</t>
        </is>
      </c>
      <c r="B17" s="26" t="inlineStr">
        <is>
          <t>PV (計画値)</t>
        </is>
      </c>
      <c r="C17" s="26" t="inlineStr">
        <is>
          <t>EV (出来高)</t>
        </is>
      </c>
      <c r="D17" s="26" t="inlineStr">
        <is>
          <t>AC (実績コスト)</t>
        </is>
      </c>
      <c r="E17" s="26" t="inlineStr">
        <is>
          <t>SV</t>
        </is>
      </c>
      <c r="F17" s="26" t="inlineStr">
        <is>
          <t>CV</t>
        </is>
      </c>
      <c r="G17" s="26" t="inlineStr">
        <is>
          <t>SPI</t>
        </is>
      </c>
      <c r="H17" s="27" t="inlineStr">
        <is>
          <t>CPI</t>
        </is>
      </c>
    </row>
    <row r="18">
      <c r="A18" s="11" t="inlineStr">
        <is>
          <t>作成</t>
        </is>
      </c>
      <c r="B18" s="12">
        <f>SUMIFS(WBS_EVM!M:M, WBS_EVM!$E:$E, "Dさん")</f>
        <v/>
      </c>
      <c r="C18" s="12">
        <f>SUMIFS(WBS_EVM!N:N, WBS_EVM!$E:$E, "Dさん")</f>
        <v/>
      </c>
      <c r="D18" s="12">
        <f>SUMIFS(WBS_EVM!O:O, WBS_EVM!$E:$E, "Dさん")</f>
        <v/>
      </c>
      <c r="E18" s="12">
        <f>C18-B18</f>
        <v/>
      </c>
      <c r="F18" s="12">
        <f>C18-D18</f>
        <v/>
      </c>
      <c r="G18" s="12">
        <f>IFERROR(C18/B18, 1)</f>
        <v/>
      </c>
      <c r="H18" s="13">
        <f>IFERROR(C18/D18, 1)</f>
        <v/>
      </c>
    </row>
    <row r="19">
      <c r="A19" s="11" t="inlineStr">
        <is>
          <t>レビュー実施</t>
        </is>
      </c>
      <c r="B19" s="12">
        <f>SUMIFS(WBS_EVM!Y:Y, WBS_EVM!$Q:$Q, "Dさん")</f>
        <v/>
      </c>
      <c r="C19" s="12">
        <f>SUMIFS(WBS_EVM!Z:Z, WBS_EVM!$Q:$Q, "Dさん")</f>
        <v/>
      </c>
      <c r="D19" s="12">
        <f>SUMIFS(WBS_EVM!AA:AA, WBS_EVM!$Q:$Q, "Dさん")</f>
        <v/>
      </c>
      <c r="E19" s="12">
        <f>C19-B19</f>
        <v/>
      </c>
      <c r="F19" s="12">
        <f>C19-D19</f>
        <v/>
      </c>
      <c r="G19" s="12">
        <f>IFERROR(C19/B19, 1)</f>
        <v/>
      </c>
      <c r="H19" s="13">
        <f>IFERROR(C19/D19, 1)</f>
        <v/>
      </c>
    </row>
    <row r="20">
      <c r="A20" s="11" t="inlineStr">
        <is>
          <t>レビュー後修正</t>
        </is>
      </c>
      <c r="B20" s="12">
        <f>SUMIFS(WBS_EVM!AK:AK, WBS_EVM!$AC:$AC, "Dさん")</f>
        <v/>
      </c>
      <c r="C20" s="12">
        <f>SUMIFS(WBS_EVM!AL:AL, WBS_EVM!$AC:$AC, "Dさん")</f>
        <v/>
      </c>
      <c r="D20" s="12">
        <f>SUMIFS(WBS_EVM!AM:AM, WBS_EVM!$AC:$AC, "Dさん")</f>
        <v/>
      </c>
      <c r="E20" s="12">
        <f>C20-B20</f>
        <v/>
      </c>
      <c r="F20" s="12">
        <f>C20-D20</f>
        <v/>
      </c>
      <c r="G20" s="12">
        <f>IFERROR(C20/B20, 1)</f>
        <v/>
      </c>
      <c r="H20" s="13">
        <f>IFERROR(C20/D20, 1)</f>
        <v/>
      </c>
    </row>
    <row r="21">
      <c r="A21" s="11" t="n"/>
      <c r="B21" s="12" t="n"/>
      <c r="C21" s="12" t="n"/>
      <c r="D21" s="12" t="n"/>
      <c r="E21" s="12" t="n"/>
      <c r="F21" s="12" t="n"/>
      <c r="G21" s="12" t="n"/>
      <c r="H21" s="13" t="n"/>
    </row>
    <row r="22">
      <c r="A22" s="24" t="inlineStr">
        <is>
          <t>タスクメトリクス</t>
        </is>
      </c>
      <c r="B22" s="12" t="n"/>
      <c r="C22" s="12" t="n"/>
      <c r="D22" s="12" t="n"/>
      <c r="E22" s="12" t="n"/>
      <c r="F22" s="12" t="n"/>
      <c r="G22" s="12" t="n"/>
      <c r="H22" s="13" t="n"/>
    </row>
    <row r="23">
      <c r="A23" s="25" t="inlineStr">
        <is>
          <t>フェーズ</t>
        </is>
      </c>
      <c r="B23" s="26" t="inlineStr">
        <is>
          <t>総数</t>
        </is>
      </c>
      <c r="C23" s="26" t="inlineStr">
        <is>
          <t>仕掛かり(予定)</t>
        </is>
      </c>
      <c r="D23" s="26" t="inlineStr">
        <is>
          <t>仕掛かり(実績)</t>
        </is>
      </c>
      <c r="E23" s="26" t="inlineStr">
        <is>
          <t>完了(予定)</t>
        </is>
      </c>
      <c r="F23" s="26" t="inlineStr">
        <is>
          <t>完了(実績)</t>
        </is>
      </c>
      <c r="G23" s="12" t="n"/>
      <c r="H23" s="13" t="n"/>
    </row>
    <row r="24">
      <c r="A24" s="11" t="inlineStr">
        <is>
          <t>作成</t>
        </is>
      </c>
      <c r="B24" s="12">
        <f>COUNTIFS(WBS_EVM!$E:$E, "Dさん", WBS_EVM!$H:$H, "&gt;0")</f>
        <v/>
      </c>
      <c r="C24" s="12" t="n"/>
      <c r="D24" s="12" t="n"/>
      <c r="E24" s="12" t="n"/>
      <c r="F24" s="12">
        <f>COUNTIFS(WBS_EVM!$E:$E, "Dさん", WBS_EVM!$K:$K, "&lt;&gt;")</f>
        <v/>
      </c>
      <c r="G24" s="12" t="n"/>
      <c r="H24" s="13" t="n"/>
    </row>
    <row r="25">
      <c r="A25" s="11" t="inlineStr">
        <is>
          <t>レビュー実施</t>
        </is>
      </c>
      <c r="B25" s="12">
        <f>COUNTIFS(WBS_EVM!$Q:$Q, "Dさん", WBS_EVM!$T:$T, "&gt;0")</f>
        <v/>
      </c>
      <c r="C25" s="12" t="n"/>
      <c r="D25" s="12" t="n"/>
      <c r="E25" s="12" t="n"/>
      <c r="F25" s="12">
        <f>COUNTIFS(WBS_EVM!$Q:$Q, "Dさん", WBS_EVM!$W:$W, "&lt;&gt;")</f>
        <v/>
      </c>
      <c r="G25" s="12" t="n"/>
      <c r="H25" s="13" t="n"/>
    </row>
    <row r="26">
      <c r="A26" s="17" t="inlineStr">
        <is>
          <t>レビュー後修正</t>
        </is>
      </c>
      <c r="B26" s="18">
        <f>COUNTIFS(WBS_EVM!$AC:$AC, "Dさん", WBS_EVM!$AF:$AF, "&gt;0")</f>
        <v/>
      </c>
      <c r="C26" s="18" t="n"/>
      <c r="D26" s="18" t="n"/>
      <c r="E26" s="18" t="n"/>
      <c r="F26" s="18">
        <f>COUNTIFS(WBS_EVM!$AC:$AC, "Dさん", WBS_EVM!$AI:$AI, "&lt;&gt;")</f>
        <v/>
      </c>
      <c r="G26" s="18" t="n"/>
      <c r="H26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No</t>
        </is>
      </c>
      <c r="B1" s="29" t="inlineStr">
        <is>
          <t>メンバー</t>
        </is>
      </c>
      <c r="C1" s="29" t="inlineStr">
        <is>
          <t>前日</t>
        </is>
      </c>
      <c r="D1" s="29" t="inlineStr">
        <is>
          <t>当日</t>
        </is>
      </c>
      <c r="E1" s="29" t="inlineStr">
        <is>
          <t>日付</t>
        </is>
      </c>
      <c r="F1" s="3" t="n"/>
      <c r="G1" s="4" t="n"/>
    </row>
    <row r="2">
      <c r="A2" s="11" t="n"/>
      <c r="B2" s="12" t="n"/>
      <c r="C2" s="12" t="n"/>
      <c r="D2" s="12" t="n"/>
      <c r="E2" s="30" t="inlineStr">
        <is>
          <t>5月3日(日)</t>
        </is>
      </c>
      <c r="F2" s="30" t="inlineStr">
        <is>
          <t>5月4日(月)</t>
        </is>
      </c>
      <c r="G2" s="31" t="inlineStr">
        <is>
          <t>5月5日(火)</t>
        </is>
      </c>
    </row>
    <row r="3">
      <c r="A3" s="11" t="n">
        <v>1</v>
      </c>
      <c r="B3" s="12" t="inlineStr">
        <is>
          <t>Aさん</t>
        </is>
      </c>
      <c r="C3" s="12" t="n"/>
      <c r="D3" s="12" t="n"/>
      <c r="E3" s="12" t="n"/>
      <c r="F3" s="12" t="n"/>
      <c r="G3" s="13" t="n"/>
    </row>
    <row r="4">
      <c r="A4" s="11" t="n">
        <v>2</v>
      </c>
      <c r="B4" s="12" t="inlineStr">
        <is>
          <t>Bさん</t>
        </is>
      </c>
      <c r="C4" s="12" t="n"/>
      <c r="D4" s="12" t="n"/>
      <c r="E4" s="12" t="n"/>
      <c r="F4" s="12" t="n"/>
      <c r="G4" s="13" t="n"/>
    </row>
    <row r="5">
      <c r="A5" s="11" t="n">
        <v>3</v>
      </c>
      <c r="B5" s="12" t="inlineStr">
        <is>
          <t>Cさん</t>
        </is>
      </c>
      <c r="C5" s="12" t="n"/>
      <c r="D5" s="12" t="n"/>
      <c r="E5" s="12" t="n"/>
      <c r="F5" s="12" t="n"/>
      <c r="G5" s="13" t="n"/>
    </row>
    <row r="6">
      <c r="A6" s="11" t="n">
        <v>4</v>
      </c>
      <c r="B6" s="12" t="inlineStr">
        <is>
          <t>Dさん</t>
        </is>
      </c>
      <c r="C6" s="12" t="n"/>
      <c r="D6" s="12" t="n"/>
      <c r="E6" s="12" t="n"/>
      <c r="F6" s="12" t="n"/>
      <c r="G6" s="13" t="n"/>
    </row>
    <row r="7">
      <c r="A7" s="11" t="n">
        <v>5</v>
      </c>
      <c r="B7" s="12" t="inlineStr">
        <is>
          <t>Eさん</t>
        </is>
      </c>
      <c r="C7" s="12" t="n"/>
      <c r="D7" s="12" t="n"/>
      <c r="E7" s="12" t="n"/>
      <c r="F7" s="12" t="n"/>
      <c r="G7" s="13" t="n"/>
    </row>
    <row r="8">
      <c r="A8" s="17" t="n">
        <v>6</v>
      </c>
      <c r="B8" s="18" t="inlineStr">
        <is>
          <t>Fさん</t>
        </is>
      </c>
      <c r="C8" s="18" t="n"/>
      <c r="D8" s="18" t="n"/>
      <c r="E8" s="18" t="n"/>
      <c r="F8" s="18" t="n"/>
      <c r="G8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2026-05-03T08:42:41Z</dcterms:created>
  <dcterms:modified xsi:type="dcterms:W3CDTF">2026-05-03T08:42:41Z</dcterms:modified>
</cp:coreProperties>
</file>