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WBS_EVM" sheetId="2" state="visible" r:id="rId2"/>
    <sheet name="チームEVM" sheetId="3" state="visible" r:id="rId3"/>
  </sheets>
  <definedNames>
    <definedName name="MEMBER_LIST">Settings!$A$5:$A$100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CCE5FF"/>
        <bgColor rgb="00CCE5FF"/>
      </patternFill>
    </fill>
    <fill>
      <patternFill patternType="solid">
        <fgColor rgb="00E0E0E0"/>
        <bgColor rgb="00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pivotButton="0" quotePrefix="0" xfId="0"/>
    <xf numFmtId="0" fontId="3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プロジェクト基本情報</t>
        </is>
      </c>
    </row>
    <row r="2">
      <c r="A2" t="inlineStr">
        <is>
          <t>プロジェクト開始日</t>
        </is>
      </c>
      <c r="B2" t="inlineStr">
        <is>
          <t>2026/05/01</t>
        </is>
      </c>
    </row>
    <row r="3">
      <c r="A3" s="1" t="inlineStr">
        <is>
          <t>メンバーリスト</t>
        </is>
      </c>
    </row>
    <row r="4">
      <c r="A4" t="inlineStr">
        <is>
          <t>メンバー名</t>
        </is>
      </c>
      <c r="B4" t="inlineStr">
        <is>
          <t>役割</t>
        </is>
      </c>
      <c r="C4" t="inlineStr">
        <is>
          <t>チームリーダー</t>
        </is>
      </c>
    </row>
    <row r="5">
      <c r="A5" t="inlineStr">
        <is>
          <t>Aさん</t>
        </is>
      </c>
      <c r="B5" t="inlineStr">
        <is>
          <t>リーダー</t>
        </is>
      </c>
      <c r="C5" t="inlineStr">
        <is>
          <t>Aさん</t>
        </is>
      </c>
    </row>
    <row r="6">
      <c r="A6" t="inlineStr">
        <is>
          <t>Bさん</t>
        </is>
      </c>
      <c r="B6" t="inlineStr">
        <is>
          <t>メンバー</t>
        </is>
      </c>
      <c r="C6" t="inlineStr">
        <is>
          <t>Aさん</t>
        </is>
      </c>
    </row>
    <row r="7">
      <c r="A7" t="inlineStr">
        <is>
          <t>Cさん</t>
        </is>
      </c>
      <c r="B7" t="inlineStr">
        <is>
          <t>メンバー</t>
        </is>
      </c>
      <c r="C7" t="inlineStr">
        <is>
          <t>Aさん</t>
        </is>
      </c>
    </row>
    <row r="8">
      <c r="A8" t="inlineStr">
        <is>
          <t>Dさん</t>
        </is>
      </c>
      <c r="B8" t="inlineStr">
        <is>
          <t>リーダー</t>
        </is>
      </c>
      <c r="C8" t="inlineStr">
        <is>
          <t>Dさん</t>
        </is>
      </c>
    </row>
    <row r="9">
      <c r="A9" t="inlineStr">
        <is>
          <t>Eさん</t>
        </is>
      </c>
      <c r="B9" t="inlineStr">
        <is>
          <t>メンバー</t>
        </is>
      </c>
      <c r="C9" t="inlineStr">
        <is>
          <t>Dさん</t>
        </is>
      </c>
    </row>
    <row r="10">
      <c r="A10" t="inlineStr">
        <is>
          <t>Fさん</t>
        </is>
      </c>
      <c r="B10" t="inlineStr">
        <is>
          <t>メンバー</t>
        </is>
      </c>
      <c r="C10" t="inlineStr">
        <is>
          <t>Dさん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102"/>
  <sheetViews>
    <sheetView workbookViewId="0">
      <selection activeCell="A1" sqref="A1"/>
    </sheetView>
  </sheetViews>
  <sheetFormatPr baseColWidth="8" defaultRowHeight="15"/>
  <sheetData>
    <row r="1">
      <c r="D1" s="2" t="inlineStr">
        <is>
          <t>作成</t>
        </is>
      </c>
      <c r="P1" s="2" t="inlineStr">
        <is>
          <t>レビュー実施</t>
        </is>
      </c>
      <c r="AB1" s="2" t="inlineStr">
        <is>
          <t>レビュー後修正</t>
        </is>
      </c>
    </row>
    <row r="2">
      <c r="A2" s="3" t="inlineStr">
        <is>
          <t>No</t>
        </is>
      </c>
      <c r="B2" s="3" t="inlineStr">
        <is>
          <t>機能ID</t>
        </is>
      </c>
      <c r="C2" s="3" t="inlineStr">
        <is>
          <t>機能名称</t>
        </is>
      </c>
      <c r="D2" s="2" t="inlineStr">
        <is>
          <t>開始日予定</t>
        </is>
      </c>
      <c r="E2" s="2" t="inlineStr">
        <is>
          <t>終了日予定</t>
        </is>
      </c>
      <c r="F2" s="2" t="inlineStr">
        <is>
          <t>工数予定</t>
        </is>
      </c>
      <c r="G2" s="2" t="inlineStr">
        <is>
          <t>開始日実績</t>
        </is>
      </c>
      <c r="H2" s="2" t="inlineStr">
        <is>
          <t>終了日実績</t>
        </is>
      </c>
      <c r="I2" s="2" t="inlineStr">
        <is>
          <t>工数実績</t>
        </is>
      </c>
      <c r="J2" s="2" t="inlineStr">
        <is>
          <t>進捗率(%)</t>
        </is>
      </c>
      <c r="K2" s="2" t="inlineStr">
        <is>
          <t>PV (計画値)</t>
        </is>
      </c>
      <c r="L2" s="2" t="inlineStr">
        <is>
          <t>EV (出来高)</t>
        </is>
      </c>
      <c r="M2" s="2" t="inlineStr">
        <is>
          <t>AC (実績コスト)</t>
        </is>
      </c>
      <c r="N2" s="2" t="inlineStr">
        <is>
          <t>担当メンバー</t>
        </is>
      </c>
      <c r="O2" s="2" t="inlineStr">
        <is>
          <t>チームリーダー</t>
        </is>
      </c>
      <c r="P2" s="2" t="inlineStr">
        <is>
          <t>開始日予定</t>
        </is>
      </c>
      <c r="Q2" s="2" t="inlineStr">
        <is>
          <t>終了日予定</t>
        </is>
      </c>
      <c r="R2" s="2" t="inlineStr">
        <is>
          <t>工数予定</t>
        </is>
      </c>
      <c r="S2" s="2" t="inlineStr">
        <is>
          <t>開始日実績</t>
        </is>
      </c>
      <c r="T2" s="2" t="inlineStr">
        <is>
          <t>終了日実績</t>
        </is>
      </c>
      <c r="U2" s="2" t="inlineStr">
        <is>
          <t>工数実績</t>
        </is>
      </c>
      <c r="V2" s="2" t="inlineStr">
        <is>
          <t>進捗率(%)</t>
        </is>
      </c>
      <c r="W2" s="2" t="inlineStr">
        <is>
          <t>PV (計画値)</t>
        </is>
      </c>
      <c r="X2" s="2" t="inlineStr">
        <is>
          <t>EV (出来高)</t>
        </is>
      </c>
      <c r="Y2" s="2" t="inlineStr">
        <is>
          <t>AC (実績コスト)</t>
        </is>
      </c>
      <c r="Z2" s="2" t="inlineStr">
        <is>
          <t>担当メンバー</t>
        </is>
      </c>
      <c r="AA2" s="2" t="inlineStr">
        <is>
          <t>チームリーダー</t>
        </is>
      </c>
      <c r="AB2" s="2" t="inlineStr">
        <is>
          <t>開始日予定</t>
        </is>
      </c>
      <c r="AC2" s="2" t="inlineStr">
        <is>
          <t>終了日予定</t>
        </is>
      </c>
      <c r="AD2" s="2" t="inlineStr">
        <is>
          <t>工数予定</t>
        </is>
      </c>
      <c r="AE2" s="2" t="inlineStr">
        <is>
          <t>開始日実績</t>
        </is>
      </c>
      <c r="AF2" s="2" t="inlineStr">
        <is>
          <t>終了日実績</t>
        </is>
      </c>
      <c r="AG2" s="2" t="inlineStr">
        <is>
          <t>工数実績</t>
        </is>
      </c>
      <c r="AH2" s="2" t="inlineStr">
        <is>
          <t>進捗率(%)</t>
        </is>
      </c>
      <c r="AI2" s="2" t="inlineStr">
        <is>
          <t>PV (計画値)</t>
        </is>
      </c>
      <c r="AJ2" s="2" t="inlineStr">
        <is>
          <t>EV (出来高)</t>
        </is>
      </c>
      <c r="AK2" s="2" t="inlineStr">
        <is>
          <t>AC (実績コスト)</t>
        </is>
      </c>
      <c r="AL2" s="2" t="inlineStr">
        <is>
          <t>担当メンバー</t>
        </is>
      </c>
      <c r="AM2" s="2" t="inlineStr">
        <is>
          <t>チームリーダー</t>
        </is>
      </c>
    </row>
    <row r="3">
      <c r="K3">
        <f>IF(TODAY()&lt;D3, 0, IF(TODAY()&gt;E3, F3, F3 * (TODAY()-D3)/(E3-D3+1)))</f>
        <v/>
      </c>
      <c r="L3">
        <f>F3 * J3</f>
        <v/>
      </c>
      <c r="M3">
        <f>I3</f>
        <v/>
      </c>
      <c r="W3">
        <f>IF(TODAY()&lt;P3, 0, IF(TODAY()&gt;Q3, R3, R3 * (TODAY()-P3)/(Q3-P3+1)))</f>
        <v/>
      </c>
      <c r="X3">
        <f>R3 * V3</f>
        <v/>
      </c>
      <c r="Y3">
        <f>U3</f>
        <v/>
      </c>
      <c r="AI3">
        <f>IF(TODAY()&lt;AB3, 0, IF(TODAY()&gt;AC3, AD3, AD3 * (TODAY()-AB3)/(AC3-AB3+1)))</f>
        <v/>
      </c>
      <c r="AJ3">
        <f>AD3 * AH3</f>
        <v/>
      </c>
      <c r="AK3">
        <f>AG3</f>
        <v/>
      </c>
    </row>
    <row r="4">
      <c r="K4">
        <f>IF(TODAY()&lt;D4, 0, IF(TODAY()&gt;E4, F4, F4 * (TODAY()-D4)/(E4-D4+1)))</f>
        <v/>
      </c>
      <c r="L4">
        <f>F4 * J4</f>
        <v/>
      </c>
      <c r="M4">
        <f>I4</f>
        <v/>
      </c>
      <c r="W4">
        <f>IF(TODAY()&lt;P4, 0, IF(TODAY()&gt;Q4, R4, R4 * (TODAY()-P4)/(Q4-P4+1)))</f>
        <v/>
      </c>
      <c r="X4">
        <f>R4 * V4</f>
        <v/>
      </c>
      <c r="Y4">
        <f>U4</f>
        <v/>
      </c>
      <c r="AI4">
        <f>IF(TODAY()&lt;AB4, 0, IF(TODAY()&gt;AC4, AD4, AD4 * (TODAY()-AB4)/(AC4-AB4+1)))</f>
        <v/>
      </c>
      <c r="AJ4">
        <f>AD4 * AH4</f>
        <v/>
      </c>
      <c r="AK4">
        <f>AG4</f>
        <v/>
      </c>
    </row>
    <row r="5">
      <c r="K5">
        <f>IF(TODAY()&lt;D5, 0, IF(TODAY()&gt;E5, F5, F5 * (TODAY()-D5)/(E5-D5+1)))</f>
        <v/>
      </c>
      <c r="L5">
        <f>F5 * J5</f>
        <v/>
      </c>
      <c r="M5">
        <f>I5</f>
        <v/>
      </c>
      <c r="W5">
        <f>IF(TODAY()&lt;P5, 0, IF(TODAY()&gt;Q5, R5, R5 * (TODAY()-P5)/(Q5-P5+1)))</f>
        <v/>
      </c>
      <c r="X5">
        <f>R5 * V5</f>
        <v/>
      </c>
      <c r="Y5">
        <f>U5</f>
        <v/>
      </c>
      <c r="AI5">
        <f>IF(TODAY()&lt;AB5, 0, IF(TODAY()&gt;AC5, AD5, AD5 * (TODAY()-AB5)/(AC5-AB5+1)))</f>
        <v/>
      </c>
      <c r="AJ5">
        <f>AD5 * AH5</f>
        <v/>
      </c>
      <c r="AK5">
        <f>AG5</f>
        <v/>
      </c>
    </row>
    <row r="6">
      <c r="K6">
        <f>IF(TODAY()&lt;D6, 0, IF(TODAY()&gt;E6, F6, F6 * (TODAY()-D6)/(E6-D6+1)))</f>
        <v/>
      </c>
      <c r="L6">
        <f>F6 * J6</f>
        <v/>
      </c>
      <c r="M6">
        <f>I6</f>
        <v/>
      </c>
      <c r="W6">
        <f>IF(TODAY()&lt;P6, 0, IF(TODAY()&gt;Q6, R6, R6 * (TODAY()-P6)/(Q6-P6+1)))</f>
        <v/>
      </c>
      <c r="X6">
        <f>R6 * V6</f>
        <v/>
      </c>
      <c r="Y6">
        <f>U6</f>
        <v/>
      </c>
      <c r="AI6">
        <f>IF(TODAY()&lt;AB6, 0, IF(TODAY()&gt;AC6, AD6, AD6 * (TODAY()-AB6)/(AC6-AB6+1)))</f>
        <v/>
      </c>
      <c r="AJ6">
        <f>AD6 * AH6</f>
        <v/>
      </c>
      <c r="AK6">
        <f>AG6</f>
        <v/>
      </c>
    </row>
    <row r="7">
      <c r="K7">
        <f>IF(TODAY()&lt;D7, 0, IF(TODAY()&gt;E7, F7, F7 * (TODAY()-D7)/(E7-D7+1)))</f>
        <v/>
      </c>
      <c r="L7">
        <f>F7 * J7</f>
        <v/>
      </c>
      <c r="M7">
        <f>I7</f>
        <v/>
      </c>
      <c r="W7">
        <f>IF(TODAY()&lt;P7, 0, IF(TODAY()&gt;Q7, R7, R7 * (TODAY()-P7)/(Q7-P7+1)))</f>
        <v/>
      </c>
      <c r="X7">
        <f>R7 * V7</f>
        <v/>
      </c>
      <c r="Y7">
        <f>U7</f>
        <v/>
      </c>
      <c r="AI7">
        <f>IF(TODAY()&lt;AB7, 0, IF(TODAY()&gt;AC7, AD7, AD7 * (TODAY()-AB7)/(AC7-AB7+1)))</f>
        <v/>
      </c>
      <c r="AJ7">
        <f>AD7 * AH7</f>
        <v/>
      </c>
      <c r="AK7">
        <f>AG7</f>
        <v/>
      </c>
    </row>
    <row r="8">
      <c r="K8">
        <f>IF(TODAY()&lt;D8, 0, IF(TODAY()&gt;E8, F8, F8 * (TODAY()-D8)/(E8-D8+1)))</f>
        <v/>
      </c>
      <c r="L8">
        <f>F8 * J8</f>
        <v/>
      </c>
      <c r="M8">
        <f>I8</f>
        <v/>
      </c>
      <c r="W8">
        <f>IF(TODAY()&lt;P8, 0, IF(TODAY()&gt;Q8, R8, R8 * (TODAY()-P8)/(Q8-P8+1)))</f>
        <v/>
      </c>
      <c r="X8">
        <f>R8 * V8</f>
        <v/>
      </c>
      <c r="Y8">
        <f>U8</f>
        <v/>
      </c>
      <c r="AI8">
        <f>IF(TODAY()&lt;AB8, 0, IF(TODAY()&gt;AC8, AD8, AD8 * (TODAY()-AB8)/(AC8-AB8+1)))</f>
        <v/>
      </c>
      <c r="AJ8">
        <f>AD8 * AH8</f>
        <v/>
      </c>
      <c r="AK8">
        <f>AG8</f>
        <v/>
      </c>
    </row>
    <row r="9">
      <c r="K9">
        <f>IF(TODAY()&lt;D9, 0, IF(TODAY()&gt;E9, F9, F9 * (TODAY()-D9)/(E9-D9+1)))</f>
        <v/>
      </c>
      <c r="L9">
        <f>F9 * J9</f>
        <v/>
      </c>
      <c r="M9">
        <f>I9</f>
        <v/>
      </c>
      <c r="W9">
        <f>IF(TODAY()&lt;P9, 0, IF(TODAY()&gt;Q9, R9, R9 * (TODAY()-P9)/(Q9-P9+1)))</f>
        <v/>
      </c>
      <c r="X9">
        <f>R9 * V9</f>
        <v/>
      </c>
      <c r="Y9">
        <f>U9</f>
        <v/>
      </c>
      <c r="AI9">
        <f>IF(TODAY()&lt;AB9, 0, IF(TODAY()&gt;AC9, AD9, AD9 * (TODAY()-AB9)/(AC9-AB9+1)))</f>
        <v/>
      </c>
      <c r="AJ9">
        <f>AD9 * AH9</f>
        <v/>
      </c>
      <c r="AK9">
        <f>AG9</f>
        <v/>
      </c>
    </row>
    <row r="10">
      <c r="K10">
        <f>IF(TODAY()&lt;D10, 0, IF(TODAY()&gt;E10, F10, F10 * (TODAY()-D10)/(E10-D10+1)))</f>
        <v/>
      </c>
      <c r="L10">
        <f>F10 * J10</f>
        <v/>
      </c>
      <c r="M10">
        <f>I10</f>
        <v/>
      </c>
      <c r="W10">
        <f>IF(TODAY()&lt;P10, 0, IF(TODAY()&gt;Q10, R10, R10 * (TODAY()-P10)/(Q10-P10+1)))</f>
        <v/>
      </c>
      <c r="X10">
        <f>R10 * V10</f>
        <v/>
      </c>
      <c r="Y10">
        <f>U10</f>
        <v/>
      </c>
      <c r="AI10">
        <f>IF(TODAY()&lt;AB10, 0, IF(TODAY()&gt;AC10, AD10, AD10 * (TODAY()-AB10)/(AC10-AB10+1)))</f>
        <v/>
      </c>
      <c r="AJ10">
        <f>AD10 * AH10</f>
        <v/>
      </c>
      <c r="AK10">
        <f>AG10</f>
        <v/>
      </c>
    </row>
    <row r="11">
      <c r="K11">
        <f>IF(TODAY()&lt;D11, 0, IF(TODAY()&gt;E11, F11, F11 * (TODAY()-D11)/(E11-D11+1)))</f>
        <v/>
      </c>
      <c r="L11">
        <f>F11 * J11</f>
        <v/>
      </c>
      <c r="M11">
        <f>I11</f>
        <v/>
      </c>
      <c r="W11">
        <f>IF(TODAY()&lt;P11, 0, IF(TODAY()&gt;Q11, R11, R11 * (TODAY()-P11)/(Q11-P11+1)))</f>
        <v/>
      </c>
      <c r="X11">
        <f>R11 * V11</f>
        <v/>
      </c>
      <c r="Y11">
        <f>U11</f>
        <v/>
      </c>
      <c r="AI11">
        <f>IF(TODAY()&lt;AB11, 0, IF(TODAY()&gt;AC11, AD11, AD11 * (TODAY()-AB11)/(AC11-AB11+1)))</f>
        <v/>
      </c>
      <c r="AJ11">
        <f>AD11 * AH11</f>
        <v/>
      </c>
      <c r="AK11">
        <f>AG11</f>
        <v/>
      </c>
    </row>
    <row r="12">
      <c r="K12">
        <f>IF(TODAY()&lt;D12, 0, IF(TODAY()&gt;E12, F12, F12 * (TODAY()-D12)/(E12-D12+1)))</f>
        <v/>
      </c>
      <c r="L12">
        <f>F12 * J12</f>
        <v/>
      </c>
      <c r="M12">
        <f>I12</f>
        <v/>
      </c>
      <c r="W12">
        <f>IF(TODAY()&lt;P12, 0, IF(TODAY()&gt;Q12, R12, R12 * (TODAY()-P12)/(Q12-P12+1)))</f>
        <v/>
      </c>
      <c r="X12">
        <f>R12 * V12</f>
        <v/>
      </c>
      <c r="Y12">
        <f>U12</f>
        <v/>
      </c>
      <c r="AI12">
        <f>IF(TODAY()&lt;AB12, 0, IF(TODAY()&gt;AC12, AD12, AD12 * (TODAY()-AB12)/(AC12-AB12+1)))</f>
        <v/>
      </c>
      <c r="AJ12">
        <f>AD12 * AH12</f>
        <v/>
      </c>
      <c r="AK12">
        <f>AG12</f>
        <v/>
      </c>
    </row>
    <row r="13">
      <c r="K13">
        <f>IF(TODAY()&lt;D13, 0, IF(TODAY()&gt;E13, F13, F13 * (TODAY()-D13)/(E13-D13+1)))</f>
        <v/>
      </c>
      <c r="L13">
        <f>F13 * J13</f>
        <v/>
      </c>
      <c r="M13">
        <f>I13</f>
        <v/>
      </c>
      <c r="W13">
        <f>IF(TODAY()&lt;P13, 0, IF(TODAY()&gt;Q13, R13, R13 * (TODAY()-P13)/(Q13-P13+1)))</f>
        <v/>
      </c>
      <c r="X13">
        <f>R13 * V13</f>
        <v/>
      </c>
      <c r="Y13">
        <f>U13</f>
        <v/>
      </c>
      <c r="AI13">
        <f>IF(TODAY()&lt;AB13, 0, IF(TODAY()&gt;AC13, AD13, AD13 * (TODAY()-AB13)/(AC13-AB13+1)))</f>
        <v/>
      </c>
      <c r="AJ13">
        <f>AD13 * AH13</f>
        <v/>
      </c>
      <c r="AK13">
        <f>AG13</f>
        <v/>
      </c>
    </row>
    <row r="14">
      <c r="K14">
        <f>IF(TODAY()&lt;D14, 0, IF(TODAY()&gt;E14, F14, F14 * (TODAY()-D14)/(E14-D14+1)))</f>
        <v/>
      </c>
      <c r="L14">
        <f>F14 * J14</f>
        <v/>
      </c>
      <c r="M14">
        <f>I14</f>
        <v/>
      </c>
      <c r="W14">
        <f>IF(TODAY()&lt;P14, 0, IF(TODAY()&gt;Q14, R14, R14 * (TODAY()-P14)/(Q14-P14+1)))</f>
        <v/>
      </c>
      <c r="X14">
        <f>R14 * V14</f>
        <v/>
      </c>
      <c r="Y14">
        <f>U14</f>
        <v/>
      </c>
      <c r="AI14">
        <f>IF(TODAY()&lt;AB14, 0, IF(TODAY()&gt;AC14, AD14, AD14 * (TODAY()-AB14)/(AC14-AB14+1)))</f>
        <v/>
      </c>
      <c r="AJ14">
        <f>AD14 * AH14</f>
        <v/>
      </c>
      <c r="AK14">
        <f>AG14</f>
        <v/>
      </c>
    </row>
    <row r="15">
      <c r="K15">
        <f>IF(TODAY()&lt;D15, 0, IF(TODAY()&gt;E15, F15, F15 * (TODAY()-D15)/(E15-D15+1)))</f>
        <v/>
      </c>
      <c r="L15">
        <f>F15 * J15</f>
        <v/>
      </c>
      <c r="M15">
        <f>I15</f>
        <v/>
      </c>
      <c r="W15">
        <f>IF(TODAY()&lt;P15, 0, IF(TODAY()&gt;Q15, R15, R15 * (TODAY()-P15)/(Q15-P15+1)))</f>
        <v/>
      </c>
      <c r="X15">
        <f>R15 * V15</f>
        <v/>
      </c>
      <c r="Y15">
        <f>U15</f>
        <v/>
      </c>
      <c r="AI15">
        <f>IF(TODAY()&lt;AB15, 0, IF(TODAY()&gt;AC15, AD15, AD15 * (TODAY()-AB15)/(AC15-AB15+1)))</f>
        <v/>
      </c>
      <c r="AJ15">
        <f>AD15 * AH15</f>
        <v/>
      </c>
      <c r="AK15">
        <f>AG15</f>
        <v/>
      </c>
    </row>
    <row r="16">
      <c r="K16">
        <f>IF(TODAY()&lt;D16, 0, IF(TODAY()&gt;E16, F16, F16 * (TODAY()-D16)/(E16-D16+1)))</f>
        <v/>
      </c>
      <c r="L16">
        <f>F16 * J16</f>
        <v/>
      </c>
      <c r="M16">
        <f>I16</f>
        <v/>
      </c>
      <c r="W16">
        <f>IF(TODAY()&lt;P16, 0, IF(TODAY()&gt;Q16, R16, R16 * (TODAY()-P16)/(Q16-P16+1)))</f>
        <v/>
      </c>
      <c r="X16">
        <f>R16 * V16</f>
        <v/>
      </c>
      <c r="Y16">
        <f>U16</f>
        <v/>
      </c>
      <c r="AI16">
        <f>IF(TODAY()&lt;AB16, 0, IF(TODAY()&gt;AC16, AD16, AD16 * (TODAY()-AB16)/(AC16-AB16+1)))</f>
        <v/>
      </c>
      <c r="AJ16">
        <f>AD16 * AH16</f>
        <v/>
      </c>
      <c r="AK16">
        <f>AG16</f>
        <v/>
      </c>
    </row>
    <row r="17">
      <c r="K17">
        <f>IF(TODAY()&lt;D17, 0, IF(TODAY()&gt;E17, F17, F17 * (TODAY()-D17)/(E17-D17+1)))</f>
        <v/>
      </c>
      <c r="L17">
        <f>F17 * J17</f>
        <v/>
      </c>
      <c r="M17">
        <f>I17</f>
        <v/>
      </c>
      <c r="W17">
        <f>IF(TODAY()&lt;P17, 0, IF(TODAY()&gt;Q17, R17, R17 * (TODAY()-P17)/(Q17-P17+1)))</f>
        <v/>
      </c>
      <c r="X17">
        <f>R17 * V17</f>
        <v/>
      </c>
      <c r="Y17">
        <f>U17</f>
        <v/>
      </c>
      <c r="AI17">
        <f>IF(TODAY()&lt;AB17, 0, IF(TODAY()&gt;AC17, AD17, AD17 * (TODAY()-AB17)/(AC17-AB17+1)))</f>
        <v/>
      </c>
      <c r="AJ17">
        <f>AD17 * AH17</f>
        <v/>
      </c>
      <c r="AK17">
        <f>AG17</f>
        <v/>
      </c>
    </row>
    <row r="18">
      <c r="K18">
        <f>IF(TODAY()&lt;D18, 0, IF(TODAY()&gt;E18, F18, F18 * (TODAY()-D18)/(E18-D18+1)))</f>
        <v/>
      </c>
      <c r="L18">
        <f>F18 * J18</f>
        <v/>
      </c>
      <c r="M18">
        <f>I18</f>
        <v/>
      </c>
      <c r="W18">
        <f>IF(TODAY()&lt;P18, 0, IF(TODAY()&gt;Q18, R18, R18 * (TODAY()-P18)/(Q18-P18+1)))</f>
        <v/>
      </c>
      <c r="X18">
        <f>R18 * V18</f>
        <v/>
      </c>
      <c r="Y18">
        <f>U18</f>
        <v/>
      </c>
      <c r="AI18">
        <f>IF(TODAY()&lt;AB18, 0, IF(TODAY()&gt;AC18, AD18, AD18 * (TODAY()-AB18)/(AC18-AB18+1)))</f>
        <v/>
      </c>
      <c r="AJ18">
        <f>AD18 * AH18</f>
        <v/>
      </c>
      <c r="AK18">
        <f>AG18</f>
        <v/>
      </c>
    </row>
    <row r="19">
      <c r="K19">
        <f>IF(TODAY()&lt;D19, 0, IF(TODAY()&gt;E19, F19, F19 * (TODAY()-D19)/(E19-D19+1)))</f>
        <v/>
      </c>
      <c r="L19">
        <f>F19 * J19</f>
        <v/>
      </c>
      <c r="M19">
        <f>I19</f>
        <v/>
      </c>
      <c r="W19">
        <f>IF(TODAY()&lt;P19, 0, IF(TODAY()&gt;Q19, R19, R19 * (TODAY()-P19)/(Q19-P19+1)))</f>
        <v/>
      </c>
      <c r="X19">
        <f>R19 * V19</f>
        <v/>
      </c>
      <c r="Y19">
        <f>U19</f>
        <v/>
      </c>
      <c r="AI19">
        <f>IF(TODAY()&lt;AB19, 0, IF(TODAY()&gt;AC19, AD19, AD19 * (TODAY()-AB19)/(AC19-AB19+1)))</f>
        <v/>
      </c>
      <c r="AJ19">
        <f>AD19 * AH19</f>
        <v/>
      </c>
      <c r="AK19">
        <f>AG19</f>
        <v/>
      </c>
    </row>
    <row r="20">
      <c r="K20">
        <f>IF(TODAY()&lt;D20, 0, IF(TODAY()&gt;E20, F20, F20 * (TODAY()-D20)/(E20-D20+1)))</f>
        <v/>
      </c>
      <c r="L20">
        <f>F20 * J20</f>
        <v/>
      </c>
      <c r="M20">
        <f>I20</f>
        <v/>
      </c>
      <c r="W20">
        <f>IF(TODAY()&lt;P20, 0, IF(TODAY()&gt;Q20, R20, R20 * (TODAY()-P20)/(Q20-P20+1)))</f>
        <v/>
      </c>
      <c r="X20">
        <f>R20 * V20</f>
        <v/>
      </c>
      <c r="Y20">
        <f>U20</f>
        <v/>
      </c>
      <c r="AI20">
        <f>IF(TODAY()&lt;AB20, 0, IF(TODAY()&gt;AC20, AD20, AD20 * (TODAY()-AB20)/(AC20-AB20+1)))</f>
        <v/>
      </c>
      <c r="AJ20">
        <f>AD20 * AH20</f>
        <v/>
      </c>
      <c r="AK20">
        <f>AG20</f>
        <v/>
      </c>
    </row>
    <row r="21">
      <c r="K21">
        <f>IF(TODAY()&lt;D21, 0, IF(TODAY()&gt;E21, F21, F21 * (TODAY()-D21)/(E21-D21+1)))</f>
        <v/>
      </c>
      <c r="L21">
        <f>F21 * J21</f>
        <v/>
      </c>
      <c r="M21">
        <f>I21</f>
        <v/>
      </c>
      <c r="W21">
        <f>IF(TODAY()&lt;P21, 0, IF(TODAY()&gt;Q21, R21, R21 * (TODAY()-P21)/(Q21-P21+1)))</f>
        <v/>
      </c>
      <c r="X21">
        <f>R21 * V21</f>
        <v/>
      </c>
      <c r="Y21">
        <f>U21</f>
        <v/>
      </c>
      <c r="AI21">
        <f>IF(TODAY()&lt;AB21, 0, IF(TODAY()&gt;AC21, AD21, AD21 * (TODAY()-AB21)/(AC21-AB21+1)))</f>
        <v/>
      </c>
      <c r="AJ21">
        <f>AD21 * AH21</f>
        <v/>
      </c>
      <c r="AK21">
        <f>AG21</f>
        <v/>
      </c>
    </row>
    <row r="22">
      <c r="K22">
        <f>IF(TODAY()&lt;D22, 0, IF(TODAY()&gt;E22, F22, F22 * (TODAY()-D22)/(E22-D22+1)))</f>
        <v/>
      </c>
      <c r="L22">
        <f>F22 * J22</f>
        <v/>
      </c>
      <c r="M22">
        <f>I22</f>
        <v/>
      </c>
      <c r="W22">
        <f>IF(TODAY()&lt;P22, 0, IF(TODAY()&gt;Q22, R22, R22 * (TODAY()-P22)/(Q22-P22+1)))</f>
        <v/>
      </c>
      <c r="X22">
        <f>R22 * V22</f>
        <v/>
      </c>
      <c r="Y22">
        <f>U22</f>
        <v/>
      </c>
      <c r="AI22">
        <f>IF(TODAY()&lt;AB22, 0, IF(TODAY()&gt;AC22, AD22, AD22 * (TODAY()-AB22)/(AC22-AB22+1)))</f>
        <v/>
      </c>
      <c r="AJ22">
        <f>AD22 * AH22</f>
        <v/>
      </c>
      <c r="AK22">
        <f>AG22</f>
        <v/>
      </c>
    </row>
    <row r="23">
      <c r="K23">
        <f>IF(TODAY()&lt;D23, 0, IF(TODAY()&gt;E23, F23, F23 * (TODAY()-D23)/(E23-D23+1)))</f>
        <v/>
      </c>
      <c r="L23">
        <f>F23 * J23</f>
        <v/>
      </c>
      <c r="M23">
        <f>I23</f>
        <v/>
      </c>
      <c r="W23">
        <f>IF(TODAY()&lt;P23, 0, IF(TODAY()&gt;Q23, R23, R23 * (TODAY()-P23)/(Q23-P23+1)))</f>
        <v/>
      </c>
      <c r="X23">
        <f>R23 * V23</f>
        <v/>
      </c>
      <c r="Y23">
        <f>U23</f>
        <v/>
      </c>
      <c r="AI23">
        <f>IF(TODAY()&lt;AB23, 0, IF(TODAY()&gt;AC23, AD23, AD23 * (TODAY()-AB23)/(AC23-AB23+1)))</f>
        <v/>
      </c>
      <c r="AJ23">
        <f>AD23 * AH23</f>
        <v/>
      </c>
      <c r="AK23">
        <f>AG23</f>
        <v/>
      </c>
    </row>
    <row r="24">
      <c r="K24">
        <f>IF(TODAY()&lt;D24, 0, IF(TODAY()&gt;E24, F24, F24 * (TODAY()-D24)/(E24-D24+1)))</f>
        <v/>
      </c>
      <c r="L24">
        <f>F24 * J24</f>
        <v/>
      </c>
      <c r="M24">
        <f>I24</f>
        <v/>
      </c>
      <c r="W24">
        <f>IF(TODAY()&lt;P24, 0, IF(TODAY()&gt;Q24, R24, R24 * (TODAY()-P24)/(Q24-P24+1)))</f>
        <v/>
      </c>
      <c r="X24">
        <f>R24 * V24</f>
        <v/>
      </c>
      <c r="Y24">
        <f>U24</f>
        <v/>
      </c>
      <c r="AI24">
        <f>IF(TODAY()&lt;AB24, 0, IF(TODAY()&gt;AC24, AD24, AD24 * (TODAY()-AB24)/(AC24-AB24+1)))</f>
        <v/>
      </c>
      <c r="AJ24">
        <f>AD24 * AH24</f>
        <v/>
      </c>
      <c r="AK24">
        <f>AG24</f>
        <v/>
      </c>
    </row>
    <row r="25">
      <c r="K25">
        <f>IF(TODAY()&lt;D25, 0, IF(TODAY()&gt;E25, F25, F25 * (TODAY()-D25)/(E25-D25+1)))</f>
        <v/>
      </c>
      <c r="L25">
        <f>F25 * J25</f>
        <v/>
      </c>
      <c r="M25">
        <f>I25</f>
        <v/>
      </c>
      <c r="W25">
        <f>IF(TODAY()&lt;P25, 0, IF(TODAY()&gt;Q25, R25, R25 * (TODAY()-P25)/(Q25-P25+1)))</f>
        <v/>
      </c>
      <c r="X25">
        <f>R25 * V25</f>
        <v/>
      </c>
      <c r="Y25">
        <f>U25</f>
        <v/>
      </c>
      <c r="AI25">
        <f>IF(TODAY()&lt;AB25, 0, IF(TODAY()&gt;AC25, AD25, AD25 * (TODAY()-AB25)/(AC25-AB25+1)))</f>
        <v/>
      </c>
      <c r="AJ25">
        <f>AD25 * AH25</f>
        <v/>
      </c>
      <c r="AK25">
        <f>AG25</f>
        <v/>
      </c>
    </row>
    <row r="26">
      <c r="K26">
        <f>IF(TODAY()&lt;D26, 0, IF(TODAY()&gt;E26, F26, F26 * (TODAY()-D26)/(E26-D26+1)))</f>
        <v/>
      </c>
      <c r="L26">
        <f>F26 * J26</f>
        <v/>
      </c>
      <c r="M26">
        <f>I26</f>
        <v/>
      </c>
      <c r="W26">
        <f>IF(TODAY()&lt;P26, 0, IF(TODAY()&gt;Q26, R26, R26 * (TODAY()-P26)/(Q26-P26+1)))</f>
        <v/>
      </c>
      <c r="X26">
        <f>R26 * V26</f>
        <v/>
      </c>
      <c r="Y26">
        <f>U26</f>
        <v/>
      </c>
      <c r="AI26">
        <f>IF(TODAY()&lt;AB26, 0, IF(TODAY()&gt;AC26, AD26, AD26 * (TODAY()-AB26)/(AC26-AB26+1)))</f>
        <v/>
      </c>
      <c r="AJ26">
        <f>AD26 * AH26</f>
        <v/>
      </c>
      <c r="AK26">
        <f>AG26</f>
        <v/>
      </c>
    </row>
    <row r="27">
      <c r="K27">
        <f>IF(TODAY()&lt;D27, 0, IF(TODAY()&gt;E27, F27, F27 * (TODAY()-D27)/(E27-D27+1)))</f>
        <v/>
      </c>
      <c r="L27">
        <f>F27 * J27</f>
        <v/>
      </c>
      <c r="M27">
        <f>I27</f>
        <v/>
      </c>
      <c r="W27">
        <f>IF(TODAY()&lt;P27, 0, IF(TODAY()&gt;Q27, R27, R27 * (TODAY()-P27)/(Q27-P27+1)))</f>
        <v/>
      </c>
      <c r="X27">
        <f>R27 * V27</f>
        <v/>
      </c>
      <c r="Y27">
        <f>U27</f>
        <v/>
      </c>
      <c r="AI27">
        <f>IF(TODAY()&lt;AB27, 0, IF(TODAY()&gt;AC27, AD27, AD27 * (TODAY()-AB27)/(AC27-AB27+1)))</f>
        <v/>
      </c>
      <c r="AJ27">
        <f>AD27 * AH27</f>
        <v/>
      </c>
      <c r="AK27">
        <f>AG27</f>
        <v/>
      </c>
    </row>
    <row r="28">
      <c r="K28">
        <f>IF(TODAY()&lt;D28, 0, IF(TODAY()&gt;E28, F28, F28 * (TODAY()-D28)/(E28-D28+1)))</f>
        <v/>
      </c>
      <c r="L28">
        <f>F28 * J28</f>
        <v/>
      </c>
      <c r="M28">
        <f>I28</f>
        <v/>
      </c>
      <c r="W28">
        <f>IF(TODAY()&lt;P28, 0, IF(TODAY()&gt;Q28, R28, R28 * (TODAY()-P28)/(Q28-P28+1)))</f>
        <v/>
      </c>
      <c r="X28">
        <f>R28 * V28</f>
        <v/>
      </c>
      <c r="Y28">
        <f>U28</f>
        <v/>
      </c>
      <c r="AI28">
        <f>IF(TODAY()&lt;AB28, 0, IF(TODAY()&gt;AC28, AD28, AD28 * (TODAY()-AB28)/(AC28-AB28+1)))</f>
        <v/>
      </c>
      <c r="AJ28">
        <f>AD28 * AH28</f>
        <v/>
      </c>
      <c r="AK28">
        <f>AG28</f>
        <v/>
      </c>
    </row>
    <row r="29">
      <c r="K29">
        <f>IF(TODAY()&lt;D29, 0, IF(TODAY()&gt;E29, F29, F29 * (TODAY()-D29)/(E29-D29+1)))</f>
        <v/>
      </c>
      <c r="L29">
        <f>F29 * J29</f>
        <v/>
      </c>
      <c r="M29">
        <f>I29</f>
        <v/>
      </c>
      <c r="W29">
        <f>IF(TODAY()&lt;P29, 0, IF(TODAY()&gt;Q29, R29, R29 * (TODAY()-P29)/(Q29-P29+1)))</f>
        <v/>
      </c>
      <c r="X29">
        <f>R29 * V29</f>
        <v/>
      </c>
      <c r="Y29">
        <f>U29</f>
        <v/>
      </c>
      <c r="AI29">
        <f>IF(TODAY()&lt;AB29, 0, IF(TODAY()&gt;AC29, AD29, AD29 * (TODAY()-AB29)/(AC29-AB29+1)))</f>
        <v/>
      </c>
      <c r="AJ29">
        <f>AD29 * AH29</f>
        <v/>
      </c>
      <c r="AK29">
        <f>AG29</f>
        <v/>
      </c>
    </row>
    <row r="30">
      <c r="K30">
        <f>IF(TODAY()&lt;D30, 0, IF(TODAY()&gt;E30, F30, F30 * (TODAY()-D30)/(E30-D30+1)))</f>
        <v/>
      </c>
      <c r="L30">
        <f>F30 * J30</f>
        <v/>
      </c>
      <c r="M30">
        <f>I30</f>
        <v/>
      </c>
      <c r="W30">
        <f>IF(TODAY()&lt;P30, 0, IF(TODAY()&gt;Q30, R30, R30 * (TODAY()-P30)/(Q30-P30+1)))</f>
        <v/>
      </c>
      <c r="X30">
        <f>R30 * V30</f>
        <v/>
      </c>
      <c r="Y30">
        <f>U30</f>
        <v/>
      </c>
      <c r="AI30">
        <f>IF(TODAY()&lt;AB30, 0, IF(TODAY()&gt;AC30, AD30, AD30 * (TODAY()-AB30)/(AC30-AB30+1)))</f>
        <v/>
      </c>
      <c r="AJ30">
        <f>AD30 * AH30</f>
        <v/>
      </c>
      <c r="AK30">
        <f>AG30</f>
        <v/>
      </c>
    </row>
    <row r="31">
      <c r="K31">
        <f>IF(TODAY()&lt;D31, 0, IF(TODAY()&gt;E31, F31, F31 * (TODAY()-D31)/(E31-D31+1)))</f>
        <v/>
      </c>
      <c r="L31">
        <f>F31 * J31</f>
        <v/>
      </c>
      <c r="M31">
        <f>I31</f>
        <v/>
      </c>
      <c r="W31">
        <f>IF(TODAY()&lt;P31, 0, IF(TODAY()&gt;Q31, R31, R31 * (TODAY()-P31)/(Q31-P31+1)))</f>
        <v/>
      </c>
      <c r="X31">
        <f>R31 * V31</f>
        <v/>
      </c>
      <c r="Y31">
        <f>U31</f>
        <v/>
      </c>
      <c r="AI31">
        <f>IF(TODAY()&lt;AB31, 0, IF(TODAY()&gt;AC31, AD31, AD31 * (TODAY()-AB31)/(AC31-AB31+1)))</f>
        <v/>
      </c>
      <c r="AJ31">
        <f>AD31 * AH31</f>
        <v/>
      </c>
      <c r="AK31">
        <f>AG31</f>
        <v/>
      </c>
    </row>
    <row r="32">
      <c r="K32">
        <f>IF(TODAY()&lt;D32, 0, IF(TODAY()&gt;E32, F32, F32 * (TODAY()-D32)/(E32-D32+1)))</f>
        <v/>
      </c>
      <c r="L32">
        <f>F32 * J32</f>
        <v/>
      </c>
      <c r="M32">
        <f>I32</f>
        <v/>
      </c>
      <c r="W32">
        <f>IF(TODAY()&lt;P32, 0, IF(TODAY()&gt;Q32, R32, R32 * (TODAY()-P32)/(Q32-P32+1)))</f>
        <v/>
      </c>
      <c r="X32">
        <f>R32 * V32</f>
        <v/>
      </c>
      <c r="Y32">
        <f>U32</f>
        <v/>
      </c>
      <c r="AI32">
        <f>IF(TODAY()&lt;AB32, 0, IF(TODAY()&gt;AC32, AD32, AD32 * (TODAY()-AB32)/(AC32-AB32+1)))</f>
        <v/>
      </c>
      <c r="AJ32">
        <f>AD32 * AH32</f>
        <v/>
      </c>
      <c r="AK32">
        <f>AG32</f>
        <v/>
      </c>
    </row>
    <row r="33">
      <c r="K33">
        <f>IF(TODAY()&lt;D33, 0, IF(TODAY()&gt;E33, F33, F33 * (TODAY()-D33)/(E33-D33+1)))</f>
        <v/>
      </c>
      <c r="L33">
        <f>F33 * J33</f>
        <v/>
      </c>
      <c r="M33">
        <f>I33</f>
        <v/>
      </c>
      <c r="W33">
        <f>IF(TODAY()&lt;P33, 0, IF(TODAY()&gt;Q33, R33, R33 * (TODAY()-P33)/(Q33-P33+1)))</f>
        <v/>
      </c>
      <c r="X33">
        <f>R33 * V33</f>
        <v/>
      </c>
      <c r="Y33">
        <f>U33</f>
        <v/>
      </c>
      <c r="AI33">
        <f>IF(TODAY()&lt;AB33, 0, IF(TODAY()&gt;AC33, AD33, AD33 * (TODAY()-AB33)/(AC33-AB33+1)))</f>
        <v/>
      </c>
      <c r="AJ33">
        <f>AD33 * AH33</f>
        <v/>
      </c>
      <c r="AK33">
        <f>AG33</f>
        <v/>
      </c>
    </row>
    <row r="34">
      <c r="K34">
        <f>IF(TODAY()&lt;D34, 0, IF(TODAY()&gt;E34, F34, F34 * (TODAY()-D34)/(E34-D34+1)))</f>
        <v/>
      </c>
      <c r="L34">
        <f>F34 * J34</f>
        <v/>
      </c>
      <c r="M34">
        <f>I34</f>
        <v/>
      </c>
      <c r="W34">
        <f>IF(TODAY()&lt;P34, 0, IF(TODAY()&gt;Q34, R34, R34 * (TODAY()-P34)/(Q34-P34+1)))</f>
        <v/>
      </c>
      <c r="X34">
        <f>R34 * V34</f>
        <v/>
      </c>
      <c r="Y34">
        <f>U34</f>
        <v/>
      </c>
      <c r="AI34">
        <f>IF(TODAY()&lt;AB34, 0, IF(TODAY()&gt;AC34, AD34, AD34 * (TODAY()-AB34)/(AC34-AB34+1)))</f>
        <v/>
      </c>
      <c r="AJ34">
        <f>AD34 * AH34</f>
        <v/>
      </c>
      <c r="AK34">
        <f>AG34</f>
        <v/>
      </c>
    </row>
    <row r="35">
      <c r="K35">
        <f>IF(TODAY()&lt;D35, 0, IF(TODAY()&gt;E35, F35, F35 * (TODAY()-D35)/(E35-D35+1)))</f>
        <v/>
      </c>
      <c r="L35">
        <f>F35 * J35</f>
        <v/>
      </c>
      <c r="M35">
        <f>I35</f>
        <v/>
      </c>
      <c r="W35">
        <f>IF(TODAY()&lt;P35, 0, IF(TODAY()&gt;Q35, R35, R35 * (TODAY()-P35)/(Q35-P35+1)))</f>
        <v/>
      </c>
      <c r="X35">
        <f>R35 * V35</f>
        <v/>
      </c>
      <c r="Y35">
        <f>U35</f>
        <v/>
      </c>
      <c r="AI35">
        <f>IF(TODAY()&lt;AB35, 0, IF(TODAY()&gt;AC35, AD35, AD35 * (TODAY()-AB35)/(AC35-AB35+1)))</f>
        <v/>
      </c>
      <c r="AJ35">
        <f>AD35 * AH35</f>
        <v/>
      </c>
      <c r="AK35">
        <f>AG35</f>
        <v/>
      </c>
    </row>
    <row r="36">
      <c r="K36">
        <f>IF(TODAY()&lt;D36, 0, IF(TODAY()&gt;E36, F36, F36 * (TODAY()-D36)/(E36-D36+1)))</f>
        <v/>
      </c>
      <c r="L36">
        <f>F36 * J36</f>
        <v/>
      </c>
      <c r="M36">
        <f>I36</f>
        <v/>
      </c>
      <c r="W36">
        <f>IF(TODAY()&lt;P36, 0, IF(TODAY()&gt;Q36, R36, R36 * (TODAY()-P36)/(Q36-P36+1)))</f>
        <v/>
      </c>
      <c r="X36">
        <f>R36 * V36</f>
        <v/>
      </c>
      <c r="Y36">
        <f>U36</f>
        <v/>
      </c>
      <c r="AI36">
        <f>IF(TODAY()&lt;AB36, 0, IF(TODAY()&gt;AC36, AD36, AD36 * (TODAY()-AB36)/(AC36-AB36+1)))</f>
        <v/>
      </c>
      <c r="AJ36">
        <f>AD36 * AH36</f>
        <v/>
      </c>
      <c r="AK36">
        <f>AG36</f>
        <v/>
      </c>
    </row>
    <row r="37">
      <c r="K37">
        <f>IF(TODAY()&lt;D37, 0, IF(TODAY()&gt;E37, F37, F37 * (TODAY()-D37)/(E37-D37+1)))</f>
        <v/>
      </c>
      <c r="L37">
        <f>F37 * J37</f>
        <v/>
      </c>
      <c r="M37">
        <f>I37</f>
        <v/>
      </c>
      <c r="W37">
        <f>IF(TODAY()&lt;P37, 0, IF(TODAY()&gt;Q37, R37, R37 * (TODAY()-P37)/(Q37-P37+1)))</f>
        <v/>
      </c>
      <c r="X37">
        <f>R37 * V37</f>
        <v/>
      </c>
      <c r="Y37">
        <f>U37</f>
        <v/>
      </c>
      <c r="AI37">
        <f>IF(TODAY()&lt;AB37, 0, IF(TODAY()&gt;AC37, AD37, AD37 * (TODAY()-AB37)/(AC37-AB37+1)))</f>
        <v/>
      </c>
      <c r="AJ37">
        <f>AD37 * AH37</f>
        <v/>
      </c>
      <c r="AK37">
        <f>AG37</f>
        <v/>
      </c>
    </row>
    <row r="38">
      <c r="K38">
        <f>IF(TODAY()&lt;D38, 0, IF(TODAY()&gt;E38, F38, F38 * (TODAY()-D38)/(E38-D38+1)))</f>
        <v/>
      </c>
      <c r="L38">
        <f>F38 * J38</f>
        <v/>
      </c>
      <c r="M38">
        <f>I38</f>
        <v/>
      </c>
      <c r="W38">
        <f>IF(TODAY()&lt;P38, 0, IF(TODAY()&gt;Q38, R38, R38 * (TODAY()-P38)/(Q38-P38+1)))</f>
        <v/>
      </c>
      <c r="X38">
        <f>R38 * V38</f>
        <v/>
      </c>
      <c r="Y38">
        <f>U38</f>
        <v/>
      </c>
      <c r="AI38">
        <f>IF(TODAY()&lt;AB38, 0, IF(TODAY()&gt;AC38, AD38, AD38 * (TODAY()-AB38)/(AC38-AB38+1)))</f>
        <v/>
      </c>
      <c r="AJ38">
        <f>AD38 * AH38</f>
        <v/>
      </c>
      <c r="AK38">
        <f>AG38</f>
        <v/>
      </c>
    </row>
    <row r="39">
      <c r="K39">
        <f>IF(TODAY()&lt;D39, 0, IF(TODAY()&gt;E39, F39, F39 * (TODAY()-D39)/(E39-D39+1)))</f>
        <v/>
      </c>
      <c r="L39">
        <f>F39 * J39</f>
        <v/>
      </c>
      <c r="M39">
        <f>I39</f>
        <v/>
      </c>
      <c r="W39">
        <f>IF(TODAY()&lt;P39, 0, IF(TODAY()&gt;Q39, R39, R39 * (TODAY()-P39)/(Q39-P39+1)))</f>
        <v/>
      </c>
      <c r="X39">
        <f>R39 * V39</f>
        <v/>
      </c>
      <c r="Y39">
        <f>U39</f>
        <v/>
      </c>
      <c r="AI39">
        <f>IF(TODAY()&lt;AB39, 0, IF(TODAY()&gt;AC39, AD39, AD39 * (TODAY()-AB39)/(AC39-AB39+1)))</f>
        <v/>
      </c>
      <c r="AJ39">
        <f>AD39 * AH39</f>
        <v/>
      </c>
      <c r="AK39">
        <f>AG39</f>
        <v/>
      </c>
    </row>
    <row r="40">
      <c r="K40">
        <f>IF(TODAY()&lt;D40, 0, IF(TODAY()&gt;E40, F40, F40 * (TODAY()-D40)/(E40-D40+1)))</f>
        <v/>
      </c>
      <c r="L40">
        <f>F40 * J40</f>
        <v/>
      </c>
      <c r="M40">
        <f>I40</f>
        <v/>
      </c>
      <c r="W40">
        <f>IF(TODAY()&lt;P40, 0, IF(TODAY()&gt;Q40, R40, R40 * (TODAY()-P40)/(Q40-P40+1)))</f>
        <v/>
      </c>
      <c r="X40">
        <f>R40 * V40</f>
        <v/>
      </c>
      <c r="Y40">
        <f>U40</f>
        <v/>
      </c>
      <c r="AI40">
        <f>IF(TODAY()&lt;AB40, 0, IF(TODAY()&gt;AC40, AD40, AD40 * (TODAY()-AB40)/(AC40-AB40+1)))</f>
        <v/>
      </c>
      <c r="AJ40">
        <f>AD40 * AH40</f>
        <v/>
      </c>
      <c r="AK40">
        <f>AG40</f>
        <v/>
      </c>
    </row>
    <row r="41">
      <c r="K41">
        <f>IF(TODAY()&lt;D41, 0, IF(TODAY()&gt;E41, F41, F41 * (TODAY()-D41)/(E41-D41+1)))</f>
        <v/>
      </c>
      <c r="L41">
        <f>F41 * J41</f>
        <v/>
      </c>
      <c r="M41">
        <f>I41</f>
        <v/>
      </c>
      <c r="W41">
        <f>IF(TODAY()&lt;P41, 0, IF(TODAY()&gt;Q41, R41, R41 * (TODAY()-P41)/(Q41-P41+1)))</f>
        <v/>
      </c>
      <c r="X41">
        <f>R41 * V41</f>
        <v/>
      </c>
      <c r="Y41">
        <f>U41</f>
        <v/>
      </c>
      <c r="AI41">
        <f>IF(TODAY()&lt;AB41, 0, IF(TODAY()&gt;AC41, AD41, AD41 * (TODAY()-AB41)/(AC41-AB41+1)))</f>
        <v/>
      </c>
      <c r="AJ41">
        <f>AD41 * AH41</f>
        <v/>
      </c>
      <c r="AK41">
        <f>AG41</f>
        <v/>
      </c>
    </row>
    <row r="42">
      <c r="K42">
        <f>IF(TODAY()&lt;D42, 0, IF(TODAY()&gt;E42, F42, F42 * (TODAY()-D42)/(E42-D42+1)))</f>
        <v/>
      </c>
      <c r="L42">
        <f>F42 * J42</f>
        <v/>
      </c>
      <c r="M42">
        <f>I42</f>
        <v/>
      </c>
      <c r="W42">
        <f>IF(TODAY()&lt;P42, 0, IF(TODAY()&gt;Q42, R42, R42 * (TODAY()-P42)/(Q42-P42+1)))</f>
        <v/>
      </c>
      <c r="X42">
        <f>R42 * V42</f>
        <v/>
      </c>
      <c r="Y42">
        <f>U42</f>
        <v/>
      </c>
      <c r="AI42">
        <f>IF(TODAY()&lt;AB42, 0, IF(TODAY()&gt;AC42, AD42, AD42 * (TODAY()-AB42)/(AC42-AB42+1)))</f>
        <v/>
      </c>
      <c r="AJ42">
        <f>AD42 * AH42</f>
        <v/>
      </c>
      <c r="AK42">
        <f>AG42</f>
        <v/>
      </c>
    </row>
    <row r="43">
      <c r="K43">
        <f>IF(TODAY()&lt;D43, 0, IF(TODAY()&gt;E43, F43, F43 * (TODAY()-D43)/(E43-D43+1)))</f>
        <v/>
      </c>
      <c r="L43">
        <f>F43 * J43</f>
        <v/>
      </c>
      <c r="M43">
        <f>I43</f>
        <v/>
      </c>
      <c r="W43">
        <f>IF(TODAY()&lt;P43, 0, IF(TODAY()&gt;Q43, R43, R43 * (TODAY()-P43)/(Q43-P43+1)))</f>
        <v/>
      </c>
      <c r="X43">
        <f>R43 * V43</f>
        <v/>
      </c>
      <c r="Y43">
        <f>U43</f>
        <v/>
      </c>
      <c r="AI43">
        <f>IF(TODAY()&lt;AB43, 0, IF(TODAY()&gt;AC43, AD43, AD43 * (TODAY()-AB43)/(AC43-AB43+1)))</f>
        <v/>
      </c>
      <c r="AJ43">
        <f>AD43 * AH43</f>
        <v/>
      </c>
      <c r="AK43">
        <f>AG43</f>
        <v/>
      </c>
    </row>
    <row r="44">
      <c r="K44">
        <f>IF(TODAY()&lt;D44, 0, IF(TODAY()&gt;E44, F44, F44 * (TODAY()-D44)/(E44-D44+1)))</f>
        <v/>
      </c>
      <c r="L44">
        <f>F44 * J44</f>
        <v/>
      </c>
      <c r="M44">
        <f>I44</f>
        <v/>
      </c>
      <c r="W44">
        <f>IF(TODAY()&lt;P44, 0, IF(TODAY()&gt;Q44, R44, R44 * (TODAY()-P44)/(Q44-P44+1)))</f>
        <v/>
      </c>
      <c r="X44">
        <f>R44 * V44</f>
        <v/>
      </c>
      <c r="Y44">
        <f>U44</f>
        <v/>
      </c>
      <c r="AI44">
        <f>IF(TODAY()&lt;AB44, 0, IF(TODAY()&gt;AC44, AD44, AD44 * (TODAY()-AB44)/(AC44-AB44+1)))</f>
        <v/>
      </c>
      <c r="AJ44">
        <f>AD44 * AH44</f>
        <v/>
      </c>
      <c r="AK44">
        <f>AG44</f>
        <v/>
      </c>
    </row>
    <row r="45">
      <c r="K45">
        <f>IF(TODAY()&lt;D45, 0, IF(TODAY()&gt;E45, F45, F45 * (TODAY()-D45)/(E45-D45+1)))</f>
        <v/>
      </c>
      <c r="L45">
        <f>F45 * J45</f>
        <v/>
      </c>
      <c r="M45">
        <f>I45</f>
        <v/>
      </c>
      <c r="W45">
        <f>IF(TODAY()&lt;P45, 0, IF(TODAY()&gt;Q45, R45, R45 * (TODAY()-P45)/(Q45-P45+1)))</f>
        <v/>
      </c>
      <c r="X45">
        <f>R45 * V45</f>
        <v/>
      </c>
      <c r="Y45">
        <f>U45</f>
        <v/>
      </c>
      <c r="AI45">
        <f>IF(TODAY()&lt;AB45, 0, IF(TODAY()&gt;AC45, AD45, AD45 * (TODAY()-AB45)/(AC45-AB45+1)))</f>
        <v/>
      </c>
      <c r="AJ45">
        <f>AD45 * AH45</f>
        <v/>
      </c>
      <c r="AK45">
        <f>AG45</f>
        <v/>
      </c>
    </row>
    <row r="46">
      <c r="K46">
        <f>IF(TODAY()&lt;D46, 0, IF(TODAY()&gt;E46, F46, F46 * (TODAY()-D46)/(E46-D46+1)))</f>
        <v/>
      </c>
      <c r="L46">
        <f>F46 * J46</f>
        <v/>
      </c>
      <c r="M46">
        <f>I46</f>
        <v/>
      </c>
      <c r="W46">
        <f>IF(TODAY()&lt;P46, 0, IF(TODAY()&gt;Q46, R46, R46 * (TODAY()-P46)/(Q46-P46+1)))</f>
        <v/>
      </c>
      <c r="X46">
        <f>R46 * V46</f>
        <v/>
      </c>
      <c r="Y46">
        <f>U46</f>
        <v/>
      </c>
      <c r="AI46">
        <f>IF(TODAY()&lt;AB46, 0, IF(TODAY()&gt;AC46, AD46, AD46 * (TODAY()-AB46)/(AC46-AB46+1)))</f>
        <v/>
      </c>
      <c r="AJ46">
        <f>AD46 * AH46</f>
        <v/>
      </c>
      <c r="AK46">
        <f>AG46</f>
        <v/>
      </c>
    </row>
    <row r="47">
      <c r="K47">
        <f>IF(TODAY()&lt;D47, 0, IF(TODAY()&gt;E47, F47, F47 * (TODAY()-D47)/(E47-D47+1)))</f>
        <v/>
      </c>
      <c r="L47">
        <f>F47 * J47</f>
        <v/>
      </c>
      <c r="M47">
        <f>I47</f>
        <v/>
      </c>
      <c r="W47">
        <f>IF(TODAY()&lt;P47, 0, IF(TODAY()&gt;Q47, R47, R47 * (TODAY()-P47)/(Q47-P47+1)))</f>
        <v/>
      </c>
      <c r="X47">
        <f>R47 * V47</f>
        <v/>
      </c>
      <c r="Y47">
        <f>U47</f>
        <v/>
      </c>
      <c r="AI47">
        <f>IF(TODAY()&lt;AB47, 0, IF(TODAY()&gt;AC47, AD47, AD47 * (TODAY()-AB47)/(AC47-AB47+1)))</f>
        <v/>
      </c>
      <c r="AJ47">
        <f>AD47 * AH47</f>
        <v/>
      </c>
      <c r="AK47">
        <f>AG47</f>
        <v/>
      </c>
    </row>
    <row r="48">
      <c r="K48">
        <f>IF(TODAY()&lt;D48, 0, IF(TODAY()&gt;E48, F48, F48 * (TODAY()-D48)/(E48-D48+1)))</f>
        <v/>
      </c>
      <c r="L48">
        <f>F48 * J48</f>
        <v/>
      </c>
      <c r="M48">
        <f>I48</f>
        <v/>
      </c>
      <c r="W48">
        <f>IF(TODAY()&lt;P48, 0, IF(TODAY()&gt;Q48, R48, R48 * (TODAY()-P48)/(Q48-P48+1)))</f>
        <v/>
      </c>
      <c r="X48">
        <f>R48 * V48</f>
        <v/>
      </c>
      <c r="Y48">
        <f>U48</f>
        <v/>
      </c>
      <c r="AI48">
        <f>IF(TODAY()&lt;AB48, 0, IF(TODAY()&gt;AC48, AD48, AD48 * (TODAY()-AB48)/(AC48-AB48+1)))</f>
        <v/>
      </c>
      <c r="AJ48">
        <f>AD48 * AH48</f>
        <v/>
      </c>
      <c r="AK48">
        <f>AG48</f>
        <v/>
      </c>
    </row>
    <row r="49">
      <c r="K49">
        <f>IF(TODAY()&lt;D49, 0, IF(TODAY()&gt;E49, F49, F49 * (TODAY()-D49)/(E49-D49+1)))</f>
        <v/>
      </c>
      <c r="L49">
        <f>F49 * J49</f>
        <v/>
      </c>
      <c r="M49">
        <f>I49</f>
        <v/>
      </c>
      <c r="W49">
        <f>IF(TODAY()&lt;P49, 0, IF(TODAY()&gt;Q49, R49, R49 * (TODAY()-P49)/(Q49-P49+1)))</f>
        <v/>
      </c>
      <c r="X49">
        <f>R49 * V49</f>
        <v/>
      </c>
      <c r="Y49">
        <f>U49</f>
        <v/>
      </c>
      <c r="AI49">
        <f>IF(TODAY()&lt;AB49, 0, IF(TODAY()&gt;AC49, AD49, AD49 * (TODAY()-AB49)/(AC49-AB49+1)))</f>
        <v/>
      </c>
      <c r="AJ49">
        <f>AD49 * AH49</f>
        <v/>
      </c>
      <c r="AK49">
        <f>AG49</f>
        <v/>
      </c>
    </row>
    <row r="50">
      <c r="K50">
        <f>IF(TODAY()&lt;D50, 0, IF(TODAY()&gt;E50, F50, F50 * (TODAY()-D50)/(E50-D50+1)))</f>
        <v/>
      </c>
      <c r="L50">
        <f>F50 * J50</f>
        <v/>
      </c>
      <c r="M50">
        <f>I50</f>
        <v/>
      </c>
      <c r="W50">
        <f>IF(TODAY()&lt;P50, 0, IF(TODAY()&gt;Q50, R50, R50 * (TODAY()-P50)/(Q50-P50+1)))</f>
        <v/>
      </c>
      <c r="X50">
        <f>R50 * V50</f>
        <v/>
      </c>
      <c r="Y50">
        <f>U50</f>
        <v/>
      </c>
      <c r="AI50">
        <f>IF(TODAY()&lt;AB50, 0, IF(TODAY()&gt;AC50, AD50, AD50 * (TODAY()-AB50)/(AC50-AB50+1)))</f>
        <v/>
      </c>
      <c r="AJ50">
        <f>AD50 * AH50</f>
        <v/>
      </c>
      <c r="AK50">
        <f>AG50</f>
        <v/>
      </c>
    </row>
    <row r="51">
      <c r="K51">
        <f>IF(TODAY()&lt;D51, 0, IF(TODAY()&gt;E51, F51, F51 * (TODAY()-D51)/(E51-D51+1)))</f>
        <v/>
      </c>
      <c r="L51">
        <f>F51 * J51</f>
        <v/>
      </c>
      <c r="M51">
        <f>I51</f>
        <v/>
      </c>
      <c r="W51">
        <f>IF(TODAY()&lt;P51, 0, IF(TODAY()&gt;Q51, R51, R51 * (TODAY()-P51)/(Q51-P51+1)))</f>
        <v/>
      </c>
      <c r="X51">
        <f>R51 * V51</f>
        <v/>
      </c>
      <c r="Y51">
        <f>U51</f>
        <v/>
      </c>
      <c r="AI51">
        <f>IF(TODAY()&lt;AB51, 0, IF(TODAY()&gt;AC51, AD51, AD51 * (TODAY()-AB51)/(AC51-AB51+1)))</f>
        <v/>
      </c>
      <c r="AJ51">
        <f>AD51 * AH51</f>
        <v/>
      </c>
      <c r="AK51">
        <f>AG51</f>
        <v/>
      </c>
    </row>
    <row r="52">
      <c r="K52">
        <f>IF(TODAY()&lt;D52, 0, IF(TODAY()&gt;E52, F52, F52 * (TODAY()-D52)/(E52-D52+1)))</f>
        <v/>
      </c>
      <c r="L52">
        <f>F52 * J52</f>
        <v/>
      </c>
      <c r="M52">
        <f>I52</f>
        <v/>
      </c>
      <c r="W52">
        <f>IF(TODAY()&lt;P52, 0, IF(TODAY()&gt;Q52, R52, R52 * (TODAY()-P52)/(Q52-P52+1)))</f>
        <v/>
      </c>
      <c r="X52">
        <f>R52 * V52</f>
        <v/>
      </c>
      <c r="Y52">
        <f>U52</f>
        <v/>
      </c>
      <c r="AI52">
        <f>IF(TODAY()&lt;AB52, 0, IF(TODAY()&gt;AC52, AD52, AD52 * (TODAY()-AB52)/(AC52-AB52+1)))</f>
        <v/>
      </c>
      <c r="AJ52">
        <f>AD52 * AH52</f>
        <v/>
      </c>
      <c r="AK52">
        <f>AG52</f>
        <v/>
      </c>
    </row>
    <row r="53">
      <c r="K53">
        <f>IF(TODAY()&lt;D53, 0, IF(TODAY()&gt;E53, F53, F53 * (TODAY()-D53)/(E53-D53+1)))</f>
        <v/>
      </c>
      <c r="L53">
        <f>F53 * J53</f>
        <v/>
      </c>
      <c r="M53">
        <f>I53</f>
        <v/>
      </c>
      <c r="W53">
        <f>IF(TODAY()&lt;P53, 0, IF(TODAY()&gt;Q53, R53, R53 * (TODAY()-P53)/(Q53-P53+1)))</f>
        <v/>
      </c>
      <c r="X53">
        <f>R53 * V53</f>
        <v/>
      </c>
      <c r="Y53">
        <f>U53</f>
        <v/>
      </c>
      <c r="AI53">
        <f>IF(TODAY()&lt;AB53, 0, IF(TODAY()&gt;AC53, AD53, AD53 * (TODAY()-AB53)/(AC53-AB53+1)))</f>
        <v/>
      </c>
      <c r="AJ53">
        <f>AD53 * AH53</f>
        <v/>
      </c>
      <c r="AK53">
        <f>AG53</f>
        <v/>
      </c>
    </row>
    <row r="54">
      <c r="K54">
        <f>IF(TODAY()&lt;D54, 0, IF(TODAY()&gt;E54, F54, F54 * (TODAY()-D54)/(E54-D54+1)))</f>
        <v/>
      </c>
      <c r="L54">
        <f>F54 * J54</f>
        <v/>
      </c>
      <c r="M54">
        <f>I54</f>
        <v/>
      </c>
      <c r="W54">
        <f>IF(TODAY()&lt;P54, 0, IF(TODAY()&gt;Q54, R54, R54 * (TODAY()-P54)/(Q54-P54+1)))</f>
        <v/>
      </c>
      <c r="X54">
        <f>R54 * V54</f>
        <v/>
      </c>
      <c r="Y54">
        <f>U54</f>
        <v/>
      </c>
      <c r="AI54">
        <f>IF(TODAY()&lt;AB54, 0, IF(TODAY()&gt;AC54, AD54, AD54 * (TODAY()-AB54)/(AC54-AB54+1)))</f>
        <v/>
      </c>
      <c r="AJ54">
        <f>AD54 * AH54</f>
        <v/>
      </c>
      <c r="AK54">
        <f>AG54</f>
        <v/>
      </c>
    </row>
    <row r="55">
      <c r="K55">
        <f>IF(TODAY()&lt;D55, 0, IF(TODAY()&gt;E55, F55, F55 * (TODAY()-D55)/(E55-D55+1)))</f>
        <v/>
      </c>
      <c r="L55">
        <f>F55 * J55</f>
        <v/>
      </c>
      <c r="M55">
        <f>I55</f>
        <v/>
      </c>
      <c r="W55">
        <f>IF(TODAY()&lt;P55, 0, IF(TODAY()&gt;Q55, R55, R55 * (TODAY()-P55)/(Q55-P55+1)))</f>
        <v/>
      </c>
      <c r="X55">
        <f>R55 * V55</f>
        <v/>
      </c>
      <c r="Y55">
        <f>U55</f>
        <v/>
      </c>
      <c r="AI55">
        <f>IF(TODAY()&lt;AB55, 0, IF(TODAY()&gt;AC55, AD55, AD55 * (TODAY()-AB55)/(AC55-AB55+1)))</f>
        <v/>
      </c>
      <c r="AJ55">
        <f>AD55 * AH55</f>
        <v/>
      </c>
      <c r="AK55">
        <f>AG55</f>
        <v/>
      </c>
    </row>
    <row r="56">
      <c r="K56">
        <f>IF(TODAY()&lt;D56, 0, IF(TODAY()&gt;E56, F56, F56 * (TODAY()-D56)/(E56-D56+1)))</f>
        <v/>
      </c>
      <c r="L56">
        <f>F56 * J56</f>
        <v/>
      </c>
      <c r="M56">
        <f>I56</f>
        <v/>
      </c>
      <c r="W56">
        <f>IF(TODAY()&lt;P56, 0, IF(TODAY()&gt;Q56, R56, R56 * (TODAY()-P56)/(Q56-P56+1)))</f>
        <v/>
      </c>
      <c r="X56">
        <f>R56 * V56</f>
        <v/>
      </c>
      <c r="Y56">
        <f>U56</f>
        <v/>
      </c>
      <c r="AI56">
        <f>IF(TODAY()&lt;AB56, 0, IF(TODAY()&gt;AC56, AD56, AD56 * (TODAY()-AB56)/(AC56-AB56+1)))</f>
        <v/>
      </c>
      <c r="AJ56">
        <f>AD56 * AH56</f>
        <v/>
      </c>
      <c r="AK56">
        <f>AG56</f>
        <v/>
      </c>
    </row>
    <row r="57">
      <c r="K57">
        <f>IF(TODAY()&lt;D57, 0, IF(TODAY()&gt;E57, F57, F57 * (TODAY()-D57)/(E57-D57+1)))</f>
        <v/>
      </c>
      <c r="L57">
        <f>F57 * J57</f>
        <v/>
      </c>
      <c r="M57">
        <f>I57</f>
        <v/>
      </c>
      <c r="W57">
        <f>IF(TODAY()&lt;P57, 0, IF(TODAY()&gt;Q57, R57, R57 * (TODAY()-P57)/(Q57-P57+1)))</f>
        <v/>
      </c>
      <c r="X57">
        <f>R57 * V57</f>
        <v/>
      </c>
      <c r="Y57">
        <f>U57</f>
        <v/>
      </c>
      <c r="AI57">
        <f>IF(TODAY()&lt;AB57, 0, IF(TODAY()&gt;AC57, AD57, AD57 * (TODAY()-AB57)/(AC57-AB57+1)))</f>
        <v/>
      </c>
      <c r="AJ57">
        <f>AD57 * AH57</f>
        <v/>
      </c>
      <c r="AK57">
        <f>AG57</f>
        <v/>
      </c>
    </row>
    <row r="58">
      <c r="K58">
        <f>IF(TODAY()&lt;D58, 0, IF(TODAY()&gt;E58, F58, F58 * (TODAY()-D58)/(E58-D58+1)))</f>
        <v/>
      </c>
      <c r="L58">
        <f>F58 * J58</f>
        <v/>
      </c>
      <c r="M58">
        <f>I58</f>
        <v/>
      </c>
      <c r="W58">
        <f>IF(TODAY()&lt;P58, 0, IF(TODAY()&gt;Q58, R58, R58 * (TODAY()-P58)/(Q58-P58+1)))</f>
        <v/>
      </c>
      <c r="X58">
        <f>R58 * V58</f>
        <v/>
      </c>
      <c r="Y58">
        <f>U58</f>
        <v/>
      </c>
      <c r="AI58">
        <f>IF(TODAY()&lt;AB58, 0, IF(TODAY()&gt;AC58, AD58, AD58 * (TODAY()-AB58)/(AC58-AB58+1)))</f>
        <v/>
      </c>
      <c r="AJ58">
        <f>AD58 * AH58</f>
        <v/>
      </c>
      <c r="AK58">
        <f>AG58</f>
        <v/>
      </c>
    </row>
    <row r="59">
      <c r="K59">
        <f>IF(TODAY()&lt;D59, 0, IF(TODAY()&gt;E59, F59, F59 * (TODAY()-D59)/(E59-D59+1)))</f>
        <v/>
      </c>
      <c r="L59">
        <f>F59 * J59</f>
        <v/>
      </c>
      <c r="M59">
        <f>I59</f>
        <v/>
      </c>
      <c r="W59">
        <f>IF(TODAY()&lt;P59, 0, IF(TODAY()&gt;Q59, R59, R59 * (TODAY()-P59)/(Q59-P59+1)))</f>
        <v/>
      </c>
      <c r="X59">
        <f>R59 * V59</f>
        <v/>
      </c>
      <c r="Y59">
        <f>U59</f>
        <v/>
      </c>
      <c r="AI59">
        <f>IF(TODAY()&lt;AB59, 0, IF(TODAY()&gt;AC59, AD59, AD59 * (TODAY()-AB59)/(AC59-AB59+1)))</f>
        <v/>
      </c>
      <c r="AJ59">
        <f>AD59 * AH59</f>
        <v/>
      </c>
      <c r="AK59">
        <f>AG59</f>
        <v/>
      </c>
    </row>
    <row r="60">
      <c r="K60">
        <f>IF(TODAY()&lt;D60, 0, IF(TODAY()&gt;E60, F60, F60 * (TODAY()-D60)/(E60-D60+1)))</f>
        <v/>
      </c>
      <c r="L60">
        <f>F60 * J60</f>
        <v/>
      </c>
      <c r="M60">
        <f>I60</f>
        <v/>
      </c>
      <c r="W60">
        <f>IF(TODAY()&lt;P60, 0, IF(TODAY()&gt;Q60, R60, R60 * (TODAY()-P60)/(Q60-P60+1)))</f>
        <v/>
      </c>
      <c r="X60">
        <f>R60 * V60</f>
        <v/>
      </c>
      <c r="Y60">
        <f>U60</f>
        <v/>
      </c>
      <c r="AI60">
        <f>IF(TODAY()&lt;AB60, 0, IF(TODAY()&gt;AC60, AD60, AD60 * (TODAY()-AB60)/(AC60-AB60+1)))</f>
        <v/>
      </c>
      <c r="AJ60">
        <f>AD60 * AH60</f>
        <v/>
      </c>
      <c r="AK60">
        <f>AG60</f>
        <v/>
      </c>
    </row>
    <row r="61">
      <c r="K61">
        <f>IF(TODAY()&lt;D61, 0, IF(TODAY()&gt;E61, F61, F61 * (TODAY()-D61)/(E61-D61+1)))</f>
        <v/>
      </c>
      <c r="L61">
        <f>F61 * J61</f>
        <v/>
      </c>
      <c r="M61">
        <f>I61</f>
        <v/>
      </c>
      <c r="W61">
        <f>IF(TODAY()&lt;P61, 0, IF(TODAY()&gt;Q61, R61, R61 * (TODAY()-P61)/(Q61-P61+1)))</f>
        <v/>
      </c>
      <c r="X61">
        <f>R61 * V61</f>
        <v/>
      </c>
      <c r="Y61">
        <f>U61</f>
        <v/>
      </c>
      <c r="AI61">
        <f>IF(TODAY()&lt;AB61, 0, IF(TODAY()&gt;AC61, AD61, AD61 * (TODAY()-AB61)/(AC61-AB61+1)))</f>
        <v/>
      </c>
      <c r="AJ61">
        <f>AD61 * AH61</f>
        <v/>
      </c>
      <c r="AK61">
        <f>AG61</f>
        <v/>
      </c>
    </row>
    <row r="62">
      <c r="K62">
        <f>IF(TODAY()&lt;D62, 0, IF(TODAY()&gt;E62, F62, F62 * (TODAY()-D62)/(E62-D62+1)))</f>
        <v/>
      </c>
      <c r="L62">
        <f>F62 * J62</f>
        <v/>
      </c>
      <c r="M62">
        <f>I62</f>
        <v/>
      </c>
      <c r="W62">
        <f>IF(TODAY()&lt;P62, 0, IF(TODAY()&gt;Q62, R62, R62 * (TODAY()-P62)/(Q62-P62+1)))</f>
        <v/>
      </c>
      <c r="X62">
        <f>R62 * V62</f>
        <v/>
      </c>
      <c r="Y62">
        <f>U62</f>
        <v/>
      </c>
      <c r="AI62">
        <f>IF(TODAY()&lt;AB62, 0, IF(TODAY()&gt;AC62, AD62, AD62 * (TODAY()-AB62)/(AC62-AB62+1)))</f>
        <v/>
      </c>
      <c r="AJ62">
        <f>AD62 * AH62</f>
        <v/>
      </c>
      <c r="AK62">
        <f>AG62</f>
        <v/>
      </c>
    </row>
    <row r="63">
      <c r="K63">
        <f>IF(TODAY()&lt;D63, 0, IF(TODAY()&gt;E63, F63, F63 * (TODAY()-D63)/(E63-D63+1)))</f>
        <v/>
      </c>
      <c r="L63">
        <f>F63 * J63</f>
        <v/>
      </c>
      <c r="M63">
        <f>I63</f>
        <v/>
      </c>
      <c r="W63">
        <f>IF(TODAY()&lt;P63, 0, IF(TODAY()&gt;Q63, R63, R63 * (TODAY()-P63)/(Q63-P63+1)))</f>
        <v/>
      </c>
      <c r="X63">
        <f>R63 * V63</f>
        <v/>
      </c>
      <c r="Y63">
        <f>U63</f>
        <v/>
      </c>
      <c r="AI63">
        <f>IF(TODAY()&lt;AB63, 0, IF(TODAY()&gt;AC63, AD63, AD63 * (TODAY()-AB63)/(AC63-AB63+1)))</f>
        <v/>
      </c>
      <c r="AJ63">
        <f>AD63 * AH63</f>
        <v/>
      </c>
      <c r="AK63">
        <f>AG63</f>
        <v/>
      </c>
    </row>
    <row r="64">
      <c r="K64">
        <f>IF(TODAY()&lt;D64, 0, IF(TODAY()&gt;E64, F64, F64 * (TODAY()-D64)/(E64-D64+1)))</f>
        <v/>
      </c>
      <c r="L64">
        <f>F64 * J64</f>
        <v/>
      </c>
      <c r="M64">
        <f>I64</f>
        <v/>
      </c>
      <c r="W64">
        <f>IF(TODAY()&lt;P64, 0, IF(TODAY()&gt;Q64, R64, R64 * (TODAY()-P64)/(Q64-P64+1)))</f>
        <v/>
      </c>
      <c r="X64">
        <f>R64 * V64</f>
        <v/>
      </c>
      <c r="Y64">
        <f>U64</f>
        <v/>
      </c>
      <c r="AI64">
        <f>IF(TODAY()&lt;AB64, 0, IF(TODAY()&gt;AC64, AD64, AD64 * (TODAY()-AB64)/(AC64-AB64+1)))</f>
        <v/>
      </c>
      <c r="AJ64">
        <f>AD64 * AH64</f>
        <v/>
      </c>
      <c r="AK64">
        <f>AG64</f>
        <v/>
      </c>
    </row>
    <row r="65">
      <c r="K65">
        <f>IF(TODAY()&lt;D65, 0, IF(TODAY()&gt;E65, F65, F65 * (TODAY()-D65)/(E65-D65+1)))</f>
        <v/>
      </c>
      <c r="L65">
        <f>F65 * J65</f>
        <v/>
      </c>
      <c r="M65">
        <f>I65</f>
        <v/>
      </c>
      <c r="W65">
        <f>IF(TODAY()&lt;P65, 0, IF(TODAY()&gt;Q65, R65, R65 * (TODAY()-P65)/(Q65-P65+1)))</f>
        <v/>
      </c>
      <c r="X65">
        <f>R65 * V65</f>
        <v/>
      </c>
      <c r="Y65">
        <f>U65</f>
        <v/>
      </c>
      <c r="AI65">
        <f>IF(TODAY()&lt;AB65, 0, IF(TODAY()&gt;AC65, AD65, AD65 * (TODAY()-AB65)/(AC65-AB65+1)))</f>
        <v/>
      </c>
      <c r="AJ65">
        <f>AD65 * AH65</f>
        <v/>
      </c>
      <c r="AK65">
        <f>AG65</f>
        <v/>
      </c>
    </row>
    <row r="66">
      <c r="K66">
        <f>IF(TODAY()&lt;D66, 0, IF(TODAY()&gt;E66, F66, F66 * (TODAY()-D66)/(E66-D66+1)))</f>
        <v/>
      </c>
      <c r="L66">
        <f>F66 * J66</f>
        <v/>
      </c>
      <c r="M66">
        <f>I66</f>
        <v/>
      </c>
      <c r="W66">
        <f>IF(TODAY()&lt;P66, 0, IF(TODAY()&gt;Q66, R66, R66 * (TODAY()-P66)/(Q66-P66+1)))</f>
        <v/>
      </c>
      <c r="X66">
        <f>R66 * V66</f>
        <v/>
      </c>
      <c r="Y66">
        <f>U66</f>
        <v/>
      </c>
      <c r="AI66">
        <f>IF(TODAY()&lt;AB66, 0, IF(TODAY()&gt;AC66, AD66, AD66 * (TODAY()-AB66)/(AC66-AB66+1)))</f>
        <v/>
      </c>
      <c r="AJ66">
        <f>AD66 * AH66</f>
        <v/>
      </c>
      <c r="AK66">
        <f>AG66</f>
        <v/>
      </c>
    </row>
    <row r="67">
      <c r="K67">
        <f>IF(TODAY()&lt;D67, 0, IF(TODAY()&gt;E67, F67, F67 * (TODAY()-D67)/(E67-D67+1)))</f>
        <v/>
      </c>
      <c r="L67">
        <f>F67 * J67</f>
        <v/>
      </c>
      <c r="M67">
        <f>I67</f>
        <v/>
      </c>
      <c r="W67">
        <f>IF(TODAY()&lt;P67, 0, IF(TODAY()&gt;Q67, R67, R67 * (TODAY()-P67)/(Q67-P67+1)))</f>
        <v/>
      </c>
      <c r="X67">
        <f>R67 * V67</f>
        <v/>
      </c>
      <c r="Y67">
        <f>U67</f>
        <v/>
      </c>
      <c r="AI67">
        <f>IF(TODAY()&lt;AB67, 0, IF(TODAY()&gt;AC67, AD67, AD67 * (TODAY()-AB67)/(AC67-AB67+1)))</f>
        <v/>
      </c>
      <c r="AJ67">
        <f>AD67 * AH67</f>
        <v/>
      </c>
      <c r="AK67">
        <f>AG67</f>
        <v/>
      </c>
    </row>
    <row r="68">
      <c r="K68">
        <f>IF(TODAY()&lt;D68, 0, IF(TODAY()&gt;E68, F68, F68 * (TODAY()-D68)/(E68-D68+1)))</f>
        <v/>
      </c>
      <c r="L68">
        <f>F68 * J68</f>
        <v/>
      </c>
      <c r="M68">
        <f>I68</f>
        <v/>
      </c>
      <c r="W68">
        <f>IF(TODAY()&lt;P68, 0, IF(TODAY()&gt;Q68, R68, R68 * (TODAY()-P68)/(Q68-P68+1)))</f>
        <v/>
      </c>
      <c r="X68">
        <f>R68 * V68</f>
        <v/>
      </c>
      <c r="Y68">
        <f>U68</f>
        <v/>
      </c>
      <c r="AI68">
        <f>IF(TODAY()&lt;AB68, 0, IF(TODAY()&gt;AC68, AD68, AD68 * (TODAY()-AB68)/(AC68-AB68+1)))</f>
        <v/>
      </c>
      <c r="AJ68">
        <f>AD68 * AH68</f>
        <v/>
      </c>
      <c r="AK68">
        <f>AG68</f>
        <v/>
      </c>
    </row>
    <row r="69">
      <c r="K69">
        <f>IF(TODAY()&lt;D69, 0, IF(TODAY()&gt;E69, F69, F69 * (TODAY()-D69)/(E69-D69+1)))</f>
        <v/>
      </c>
      <c r="L69">
        <f>F69 * J69</f>
        <v/>
      </c>
      <c r="M69">
        <f>I69</f>
        <v/>
      </c>
      <c r="W69">
        <f>IF(TODAY()&lt;P69, 0, IF(TODAY()&gt;Q69, R69, R69 * (TODAY()-P69)/(Q69-P69+1)))</f>
        <v/>
      </c>
      <c r="X69">
        <f>R69 * V69</f>
        <v/>
      </c>
      <c r="Y69">
        <f>U69</f>
        <v/>
      </c>
      <c r="AI69">
        <f>IF(TODAY()&lt;AB69, 0, IF(TODAY()&gt;AC69, AD69, AD69 * (TODAY()-AB69)/(AC69-AB69+1)))</f>
        <v/>
      </c>
      <c r="AJ69">
        <f>AD69 * AH69</f>
        <v/>
      </c>
      <c r="AK69">
        <f>AG69</f>
        <v/>
      </c>
    </row>
    <row r="70">
      <c r="K70">
        <f>IF(TODAY()&lt;D70, 0, IF(TODAY()&gt;E70, F70, F70 * (TODAY()-D70)/(E70-D70+1)))</f>
        <v/>
      </c>
      <c r="L70">
        <f>F70 * J70</f>
        <v/>
      </c>
      <c r="M70">
        <f>I70</f>
        <v/>
      </c>
      <c r="W70">
        <f>IF(TODAY()&lt;P70, 0, IF(TODAY()&gt;Q70, R70, R70 * (TODAY()-P70)/(Q70-P70+1)))</f>
        <v/>
      </c>
      <c r="X70">
        <f>R70 * V70</f>
        <v/>
      </c>
      <c r="Y70">
        <f>U70</f>
        <v/>
      </c>
      <c r="AI70">
        <f>IF(TODAY()&lt;AB70, 0, IF(TODAY()&gt;AC70, AD70, AD70 * (TODAY()-AB70)/(AC70-AB70+1)))</f>
        <v/>
      </c>
      <c r="AJ70">
        <f>AD70 * AH70</f>
        <v/>
      </c>
      <c r="AK70">
        <f>AG70</f>
        <v/>
      </c>
    </row>
    <row r="71">
      <c r="K71">
        <f>IF(TODAY()&lt;D71, 0, IF(TODAY()&gt;E71, F71, F71 * (TODAY()-D71)/(E71-D71+1)))</f>
        <v/>
      </c>
      <c r="L71">
        <f>F71 * J71</f>
        <v/>
      </c>
      <c r="M71">
        <f>I71</f>
        <v/>
      </c>
      <c r="W71">
        <f>IF(TODAY()&lt;P71, 0, IF(TODAY()&gt;Q71, R71, R71 * (TODAY()-P71)/(Q71-P71+1)))</f>
        <v/>
      </c>
      <c r="X71">
        <f>R71 * V71</f>
        <v/>
      </c>
      <c r="Y71">
        <f>U71</f>
        <v/>
      </c>
      <c r="AI71">
        <f>IF(TODAY()&lt;AB71, 0, IF(TODAY()&gt;AC71, AD71, AD71 * (TODAY()-AB71)/(AC71-AB71+1)))</f>
        <v/>
      </c>
      <c r="AJ71">
        <f>AD71 * AH71</f>
        <v/>
      </c>
      <c r="AK71">
        <f>AG71</f>
        <v/>
      </c>
    </row>
    <row r="72">
      <c r="K72">
        <f>IF(TODAY()&lt;D72, 0, IF(TODAY()&gt;E72, F72, F72 * (TODAY()-D72)/(E72-D72+1)))</f>
        <v/>
      </c>
      <c r="L72">
        <f>F72 * J72</f>
        <v/>
      </c>
      <c r="M72">
        <f>I72</f>
        <v/>
      </c>
      <c r="W72">
        <f>IF(TODAY()&lt;P72, 0, IF(TODAY()&gt;Q72, R72, R72 * (TODAY()-P72)/(Q72-P72+1)))</f>
        <v/>
      </c>
      <c r="X72">
        <f>R72 * V72</f>
        <v/>
      </c>
      <c r="Y72">
        <f>U72</f>
        <v/>
      </c>
      <c r="AI72">
        <f>IF(TODAY()&lt;AB72, 0, IF(TODAY()&gt;AC72, AD72, AD72 * (TODAY()-AB72)/(AC72-AB72+1)))</f>
        <v/>
      </c>
      <c r="AJ72">
        <f>AD72 * AH72</f>
        <v/>
      </c>
      <c r="AK72">
        <f>AG72</f>
        <v/>
      </c>
    </row>
    <row r="73">
      <c r="K73">
        <f>IF(TODAY()&lt;D73, 0, IF(TODAY()&gt;E73, F73, F73 * (TODAY()-D73)/(E73-D73+1)))</f>
        <v/>
      </c>
      <c r="L73">
        <f>F73 * J73</f>
        <v/>
      </c>
      <c r="M73">
        <f>I73</f>
        <v/>
      </c>
      <c r="W73">
        <f>IF(TODAY()&lt;P73, 0, IF(TODAY()&gt;Q73, R73, R73 * (TODAY()-P73)/(Q73-P73+1)))</f>
        <v/>
      </c>
      <c r="X73">
        <f>R73 * V73</f>
        <v/>
      </c>
      <c r="Y73">
        <f>U73</f>
        <v/>
      </c>
      <c r="AI73">
        <f>IF(TODAY()&lt;AB73, 0, IF(TODAY()&gt;AC73, AD73, AD73 * (TODAY()-AB73)/(AC73-AB73+1)))</f>
        <v/>
      </c>
      <c r="AJ73">
        <f>AD73 * AH73</f>
        <v/>
      </c>
      <c r="AK73">
        <f>AG73</f>
        <v/>
      </c>
    </row>
    <row r="74">
      <c r="K74">
        <f>IF(TODAY()&lt;D74, 0, IF(TODAY()&gt;E74, F74, F74 * (TODAY()-D74)/(E74-D74+1)))</f>
        <v/>
      </c>
      <c r="L74">
        <f>F74 * J74</f>
        <v/>
      </c>
      <c r="M74">
        <f>I74</f>
        <v/>
      </c>
      <c r="W74">
        <f>IF(TODAY()&lt;P74, 0, IF(TODAY()&gt;Q74, R74, R74 * (TODAY()-P74)/(Q74-P74+1)))</f>
        <v/>
      </c>
      <c r="X74">
        <f>R74 * V74</f>
        <v/>
      </c>
      <c r="Y74">
        <f>U74</f>
        <v/>
      </c>
      <c r="AI74">
        <f>IF(TODAY()&lt;AB74, 0, IF(TODAY()&gt;AC74, AD74, AD74 * (TODAY()-AB74)/(AC74-AB74+1)))</f>
        <v/>
      </c>
      <c r="AJ74">
        <f>AD74 * AH74</f>
        <v/>
      </c>
      <c r="AK74">
        <f>AG74</f>
        <v/>
      </c>
    </row>
    <row r="75">
      <c r="K75">
        <f>IF(TODAY()&lt;D75, 0, IF(TODAY()&gt;E75, F75, F75 * (TODAY()-D75)/(E75-D75+1)))</f>
        <v/>
      </c>
      <c r="L75">
        <f>F75 * J75</f>
        <v/>
      </c>
      <c r="M75">
        <f>I75</f>
        <v/>
      </c>
      <c r="W75">
        <f>IF(TODAY()&lt;P75, 0, IF(TODAY()&gt;Q75, R75, R75 * (TODAY()-P75)/(Q75-P75+1)))</f>
        <v/>
      </c>
      <c r="X75">
        <f>R75 * V75</f>
        <v/>
      </c>
      <c r="Y75">
        <f>U75</f>
        <v/>
      </c>
      <c r="AI75">
        <f>IF(TODAY()&lt;AB75, 0, IF(TODAY()&gt;AC75, AD75, AD75 * (TODAY()-AB75)/(AC75-AB75+1)))</f>
        <v/>
      </c>
      <c r="AJ75">
        <f>AD75 * AH75</f>
        <v/>
      </c>
      <c r="AK75">
        <f>AG75</f>
        <v/>
      </c>
    </row>
    <row r="76">
      <c r="K76">
        <f>IF(TODAY()&lt;D76, 0, IF(TODAY()&gt;E76, F76, F76 * (TODAY()-D76)/(E76-D76+1)))</f>
        <v/>
      </c>
      <c r="L76">
        <f>F76 * J76</f>
        <v/>
      </c>
      <c r="M76">
        <f>I76</f>
        <v/>
      </c>
      <c r="W76">
        <f>IF(TODAY()&lt;P76, 0, IF(TODAY()&gt;Q76, R76, R76 * (TODAY()-P76)/(Q76-P76+1)))</f>
        <v/>
      </c>
      <c r="X76">
        <f>R76 * V76</f>
        <v/>
      </c>
      <c r="Y76">
        <f>U76</f>
        <v/>
      </c>
      <c r="AI76">
        <f>IF(TODAY()&lt;AB76, 0, IF(TODAY()&gt;AC76, AD76, AD76 * (TODAY()-AB76)/(AC76-AB76+1)))</f>
        <v/>
      </c>
      <c r="AJ76">
        <f>AD76 * AH76</f>
        <v/>
      </c>
      <c r="AK76">
        <f>AG76</f>
        <v/>
      </c>
    </row>
    <row r="77">
      <c r="K77">
        <f>IF(TODAY()&lt;D77, 0, IF(TODAY()&gt;E77, F77, F77 * (TODAY()-D77)/(E77-D77+1)))</f>
        <v/>
      </c>
      <c r="L77">
        <f>F77 * J77</f>
        <v/>
      </c>
      <c r="M77">
        <f>I77</f>
        <v/>
      </c>
      <c r="W77">
        <f>IF(TODAY()&lt;P77, 0, IF(TODAY()&gt;Q77, R77, R77 * (TODAY()-P77)/(Q77-P77+1)))</f>
        <v/>
      </c>
      <c r="X77">
        <f>R77 * V77</f>
        <v/>
      </c>
      <c r="Y77">
        <f>U77</f>
        <v/>
      </c>
      <c r="AI77">
        <f>IF(TODAY()&lt;AB77, 0, IF(TODAY()&gt;AC77, AD77, AD77 * (TODAY()-AB77)/(AC77-AB77+1)))</f>
        <v/>
      </c>
      <c r="AJ77">
        <f>AD77 * AH77</f>
        <v/>
      </c>
      <c r="AK77">
        <f>AG77</f>
        <v/>
      </c>
    </row>
    <row r="78">
      <c r="K78">
        <f>IF(TODAY()&lt;D78, 0, IF(TODAY()&gt;E78, F78, F78 * (TODAY()-D78)/(E78-D78+1)))</f>
        <v/>
      </c>
      <c r="L78">
        <f>F78 * J78</f>
        <v/>
      </c>
      <c r="M78">
        <f>I78</f>
        <v/>
      </c>
      <c r="W78">
        <f>IF(TODAY()&lt;P78, 0, IF(TODAY()&gt;Q78, R78, R78 * (TODAY()-P78)/(Q78-P78+1)))</f>
        <v/>
      </c>
      <c r="X78">
        <f>R78 * V78</f>
        <v/>
      </c>
      <c r="Y78">
        <f>U78</f>
        <v/>
      </c>
      <c r="AI78">
        <f>IF(TODAY()&lt;AB78, 0, IF(TODAY()&gt;AC78, AD78, AD78 * (TODAY()-AB78)/(AC78-AB78+1)))</f>
        <v/>
      </c>
      <c r="AJ78">
        <f>AD78 * AH78</f>
        <v/>
      </c>
      <c r="AK78">
        <f>AG78</f>
        <v/>
      </c>
    </row>
    <row r="79">
      <c r="K79">
        <f>IF(TODAY()&lt;D79, 0, IF(TODAY()&gt;E79, F79, F79 * (TODAY()-D79)/(E79-D79+1)))</f>
        <v/>
      </c>
      <c r="L79">
        <f>F79 * J79</f>
        <v/>
      </c>
      <c r="M79">
        <f>I79</f>
        <v/>
      </c>
      <c r="W79">
        <f>IF(TODAY()&lt;P79, 0, IF(TODAY()&gt;Q79, R79, R79 * (TODAY()-P79)/(Q79-P79+1)))</f>
        <v/>
      </c>
      <c r="X79">
        <f>R79 * V79</f>
        <v/>
      </c>
      <c r="Y79">
        <f>U79</f>
        <v/>
      </c>
      <c r="AI79">
        <f>IF(TODAY()&lt;AB79, 0, IF(TODAY()&gt;AC79, AD79, AD79 * (TODAY()-AB79)/(AC79-AB79+1)))</f>
        <v/>
      </c>
      <c r="AJ79">
        <f>AD79 * AH79</f>
        <v/>
      </c>
      <c r="AK79">
        <f>AG79</f>
        <v/>
      </c>
    </row>
    <row r="80">
      <c r="K80">
        <f>IF(TODAY()&lt;D80, 0, IF(TODAY()&gt;E80, F80, F80 * (TODAY()-D80)/(E80-D80+1)))</f>
        <v/>
      </c>
      <c r="L80">
        <f>F80 * J80</f>
        <v/>
      </c>
      <c r="M80">
        <f>I80</f>
        <v/>
      </c>
      <c r="W80">
        <f>IF(TODAY()&lt;P80, 0, IF(TODAY()&gt;Q80, R80, R80 * (TODAY()-P80)/(Q80-P80+1)))</f>
        <v/>
      </c>
      <c r="X80">
        <f>R80 * V80</f>
        <v/>
      </c>
      <c r="Y80">
        <f>U80</f>
        <v/>
      </c>
      <c r="AI80">
        <f>IF(TODAY()&lt;AB80, 0, IF(TODAY()&gt;AC80, AD80, AD80 * (TODAY()-AB80)/(AC80-AB80+1)))</f>
        <v/>
      </c>
      <c r="AJ80">
        <f>AD80 * AH80</f>
        <v/>
      </c>
      <c r="AK80">
        <f>AG80</f>
        <v/>
      </c>
    </row>
    <row r="81">
      <c r="K81">
        <f>IF(TODAY()&lt;D81, 0, IF(TODAY()&gt;E81, F81, F81 * (TODAY()-D81)/(E81-D81+1)))</f>
        <v/>
      </c>
      <c r="L81">
        <f>F81 * J81</f>
        <v/>
      </c>
      <c r="M81">
        <f>I81</f>
        <v/>
      </c>
      <c r="W81">
        <f>IF(TODAY()&lt;P81, 0, IF(TODAY()&gt;Q81, R81, R81 * (TODAY()-P81)/(Q81-P81+1)))</f>
        <v/>
      </c>
      <c r="X81">
        <f>R81 * V81</f>
        <v/>
      </c>
      <c r="Y81">
        <f>U81</f>
        <v/>
      </c>
      <c r="AI81">
        <f>IF(TODAY()&lt;AB81, 0, IF(TODAY()&gt;AC81, AD81, AD81 * (TODAY()-AB81)/(AC81-AB81+1)))</f>
        <v/>
      </c>
      <c r="AJ81">
        <f>AD81 * AH81</f>
        <v/>
      </c>
      <c r="AK81">
        <f>AG81</f>
        <v/>
      </c>
    </row>
    <row r="82">
      <c r="K82">
        <f>IF(TODAY()&lt;D82, 0, IF(TODAY()&gt;E82, F82, F82 * (TODAY()-D82)/(E82-D82+1)))</f>
        <v/>
      </c>
      <c r="L82">
        <f>F82 * J82</f>
        <v/>
      </c>
      <c r="M82">
        <f>I82</f>
        <v/>
      </c>
      <c r="W82">
        <f>IF(TODAY()&lt;P82, 0, IF(TODAY()&gt;Q82, R82, R82 * (TODAY()-P82)/(Q82-P82+1)))</f>
        <v/>
      </c>
      <c r="X82">
        <f>R82 * V82</f>
        <v/>
      </c>
      <c r="Y82">
        <f>U82</f>
        <v/>
      </c>
      <c r="AI82">
        <f>IF(TODAY()&lt;AB82, 0, IF(TODAY()&gt;AC82, AD82, AD82 * (TODAY()-AB82)/(AC82-AB82+1)))</f>
        <v/>
      </c>
      <c r="AJ82">
        <f>AD82 * AH82</f>
        <v/>
      </c>
      <c r="AK82">
        <f>AG82</f>
        <v/>
      </c>
    </row>
    <row r="83">
      <c r="K83">
        <f>IF(TODAY()&lt;D83, 0, IF(TODAY()&gt;E83, F83, F83 * (TODAY()-D83)/(E83-D83+1)))</f>
        <v/>
      </c>
      <c r="L83">
        <f>F83 * J83</f>
        <v/>
      </c>
      <c r="M83">
        <f>I83</f>
        <v/>
      </c>
      <c r="W83">
        <f>IF(TODAY()&lt;P83, 0, IF(TODAY()&gt;Q83, R83, R83 * (TODAY()-P83)/(Q83-P83+1)))</f>
        <v/>
      </c>
      <c r="X83">
        <f>R83 * V83</f>
        <v/>
      </c>
      <c r="Y83">
        <f>U83</f>
        <v/>
      </c>
      <c r="AI83">
        <f>IF(TODAY()&lt;AB83, 0, IF(TODAY()&gt;AC83, AD83, AD83 * (TODAY()-AB83)/(AC83-AB83+1)))</f>
        <v/>
      </c>
      <c r="AJ83">
        <f>AD83 * AH83</f>
        <v/>
      </c>
      <c r="AK83">
        <f>AG83</f>
        <v/>
      </c>
    </row>
    <row r="84">
      <c r="K84">
        <f>IF(TODAY()&lt;D84, 0, IF(TODAY()&gt;E84, F84, F84 * (TODAY()-D84)/(E84-D84+1)))</f>
        <v/>
      </c>
      <c r="L84">
        <f>F84 * J84</f>
        <v/>
      </c>
      <c r="M84">
        <f>I84</f>
        <v/>
      </c>
      <c r="W84">
        <f>IF(TODAY()&lt;P84, 0, IF(TODAY()&gt;Q84, R84, R84 * (TODAY()-P84)/(Q84-P84+1)))</f>
        <v/>
      </c>
      <c r="X84">
        <f>R84 * V84</f>
        <v/>
      </c>
      <c r="Y84">
        <f>U84</f>
        <v/>
      </c>
      <c r="AI84">
        <f>IF(TODAY()&lt;AB84, 0, IF(TODAY()&gt;AC84, AD84, AD84 * (TODAY()-AB84)/(AC84-AB84+1)))</f>
        <v/>
      </c>
      <c r="AJ84">
        <f>AD84 * AH84</f>
        <v/>
      </c>
      <c r="AK84">
        <f>AG84</f>
        <v/>
      </c>
    </row>
    <row r="85">
      <c r="K85">
        <f>IF(TODAY()&lt;D85, 0, IF(TODAY()&gt;E85, F85, F85 * (TODAY()-D85)/(E85-D85+1)))</f>
        <v/>
      </c>
      <c r="L85">
        <f>F85 * J85</f>
        <v/>
      </c>
      <c r="M85">
        <f>I85</f>
        <v/>
      </c>
      <c r="W85">
        <f>IF(TODAY()&lt;P85, 0, IF(TODAY()&gt;Q85, R85, R85 * (TODAY()-P85)/(Q85-P85+1)))</f>
        <v/>
      </c>
      <c r="X85">
        <f>R85 * V85</f>
        <v/>
      </c>
      <c r="Y85">
        <f>U85</f>
        <v/>
      </c>
      <c r="AI85">
        <f>IF(TODAY()&lt;AB85, 0, IF(TODAY()&gt;AC85, AD85, AD85 * (TODAY()-AB85)/(AC85-AB85+1)))</f>
        <v/>
      </c>
      <c r="AJ85">
        <f>AD85 * AH85</f>
        <v/>
      </c>
      <c r="AK85">
        <f>AG85</f>
        <v/>
      </c>
    </row>
    <row r="86">
      <c r="K86">
        <f>IF(TODAY()&lt;D86, 0, IF(TODAY()&gt;E86, F86, F86 * (TODAY()-D86)/(E86-D86+1)))</f>
        <v/>
      </c>
      <c r="L86">
        <f>F86 * J86</f>
        <v/>
      </c>
      <c r="M86">
        <f>I86</f>
        <v/>
      </c>
      <c r="W86">
        <f>IF(TODAY()&lt;P86, 0, IF(TODAY()&gt;Q86, R86, R86 * (TODAY()-P86)/(Q86-P86+1)))</f>
        <v/>
      </c>
      <c r="X86">
        <f>R86 * V86</f>
        <v/>
      </c>
      <c r="Y86">
        <f>U86</f>
        <v/>
      </c>
      <c r="AI86">
        <f>IF(TODAY()&lt;AB86, 0, IF(TODAY()&gt;AC86, AD86, AD86 * (TODAY()-AB86)/(AC86-AB86+1)))</f>
        <v/>
      </c>
      <c r="AJ86">
        <f>AD86 * AH86</f>
        <v/>
      </c>
      <c r="AK86">
        <f>AG86</f>
        <v/>
      </c>
    </row>
    <row r="87">
      <c r="K87">
        <f>IF(TODAY()&lt;D87, 0, IF(TODAY()&gt;E87, F87, F87 * (TODAY()-D87)/(E87-D87+1)))</f>
        <v/>
      </c>
      <c r="L87">
        <f>F87 * J87</f>
        <v/>
      </c>
      <c r="M87">
        <f>I87</f>
        <v/>
      </c>
      <c r="W87">
        <f>IF(TODAY()&lt;P87, 0, IF(TODAY()&gt;Q87, R87, R87 * (TODAY()-P87)/(Q87-P87+1)))</f>
        <v/>
      </c>
      <c r="X87">
        <f>R87 * V87</f>
        <v/>
      </c>
      <c r="Y87">
        <f>U87</f>
        <v/>
      </c>
      <c r="AI87">
        <f>IF(TODAY()&lt;AB87, 0, IF(TODAY()&gt;AC87, AD87, AD87 * (TODAY()-AB87)/(AC87-AB87+1)))</f>
        <v/>
      </c>
      <c r="AJ87">
        <f>AD87 * AH87</f>
        <v/>
      </c>
      <c r="AK87">
        <f>AG87</f>
        <v/>
      </c>
    </row>
    <row r="88">
      <c r="K88">
        <f>IF(TODAY()&lt;D88, 0, IF(TODAY()&gt;E88, F88, F88 * (TODAY()-D88)/(E88-D88+1)))</f>
        <v/>
      </c>
      <c r="L88">
        <f>F88 * J88</f>
        <v/>
      </c>
      <c r="M88">
        <f>I88</f>
        <v/>
      </c>
      <c r="W88">
        <f>IF(TODAY()&lt;P88, 0, IF(TODAY()&gt;Q88, R88, R88 * (TODAY()-P88)/(Q88-P88+1)))</f>
        <v/>
      </c>
      <c r="X88">
        <f>R88 * V88</f>
        <v/>
      </c>
      <c r="Y88">
        <f>U88</f>
        <v/>
      </c>
      <c r="AI88">
        <f>IF(TODAY()&lt;AB88, 0, IF(TODAY()&gt;AC88, AD88, AD88 * (TODAY()-AB88)/(AC88-AB88+1)))</f>
        <v/>
      </c>
      <c r="AJ88">
        <f>AD88 * AH88</f>
        <v/>
      </c>
      <c r="AK88">
        <f>AG88</f>
        <v/>
      </c>
    </row>
    <row r="89">
      <c r="K89">
        <f>IF(TODAY()&lt;D89, 0, IF(TODAY()&gt;E89, F89, F89 * (TODAY()-D89)/(E89-D89+1)))</f>
        <v/>
      </c>
      <c r="L89">
        <f>F89 * J89</f>
        <v/>
      </c>
      <c r="M89">
        <f>I89</f>
        <v/>
      </c>
      <c r="W89">
        <f>IF(TODAY()&lt;P89, 0, IF(TODAY()&gt;Q89, R89, R89 * (TODAY()-P89)/(Q89-P89+1)))</f>
        <v/>
      </c>
      <c r="X89">
        <f>R89 * V89</f>
        <v/>
      </c>
      <c r="Y89">
        <f>U89</f>
        <v/>
      </c>
      <c r="AI89">
        <f>IF(TODAY()&lt;AB89, 0, IF(TODAY()&gt;AC89, AD89, AD89 * (TODAY()-AB89)/(AC89-AB89+1)))</f>
        <v/>
      </c>
      <c r="AJ89">
        <f>AD89 * AH89</f>
        <v/>
      </c>
      <c r="AK89">
        <f>AG89</f>
        <v/>
      </c>
    </row>
    <row r="90">
      <c r="K90">
        <f>IF(TODAY()&lt;D90, 0, IF(TODAY()&gt;E90, F90, F90 * (TODAY()-D90)/(E90-D90+1)))</f>
        <v/>
      </c>
      <c r="L90">
        <f>F90 * J90</f>
        <v/>
      </c>
      <c r="M90">
        <f>I90</f>
        <v/>
      </c>
      <c r="W90">
        <f>IF(TODAY()&lt;P90, 0, IF(TODAY()&gt;Q90, R90, R90 * (TODAY()-P90)/(Q90-P90+1)))</f>
        <v/>
      </c>
      <c r="X90">
        <f>R90 * V90</f>
        <v/>
      </c>
      <c r="Y90">
        <f>U90</f>
        <v/>
      </c>
      <c r="AI90">
        <f>IF(TODAY()&lt;AB90, 0, IF(TODAY()&gt;AC90, AD90, AD90 * (TODAY()-AB90)/(AC90-AB90+1)))</f>
        <v/>
      </c>
      <c r="AJ90">
        <f>AD90 * AH90</f>
        <v/>
      </c>
      <c r="AK90">
        <f>AG90</f>
        <v/>
      </c>
    </row>
    <row r="91">
      <c r="K91">
        <f>IF(TODAY()&lt;D91, 0, IF(TODAY()&gt;E91, F91, F91 * (TODAY()-D91)/(E91-D91+1)))</f>
        <v/>
      </c>
      <c r="L91">
        <f>F91 * J91</f>
        <v/>
      </c>
      <c r="M91">
        <f>I91</f>
        <v/>
      </c>
      <c r="W91">
        <f>IF(TODAY()&lt;P91, 0, IF(TODAY()&gt;Q91, R91, R91 * (TODAY()-P91)/(Q91-P91+1)))</f>
        <v/>
      </c>
      <c r="X91">
        <f>R91 * V91</f>
        <v/>
      </c>
      <c r="Y91">
        <f>U91</f>
        <v/>
      </c>
      <c r="AI91">
        <f>IF(TODAY()&lt;AB91, 0, IF(TODAY()&gt;AC91, AD91, AD91 * (TODAY()-AB91)/(AC91-AB91+1)))</f>
        <v/>
      </c>
      <c r="AJ91">
        <f>AD91 * AH91</f>
        <v/>
      </c>
      <c r="AK91">
        <f>AG91</f>
        <v/>
      </c>
    </row>
    <row r="92">
      <c r="K92">
        <f>IF(TODAY()&lt;D92, 0, IF(TODAY()&gt;E92, F92, F92 * (TODAY()-D92)/(E92-D92+1)))</f>
        <v/>
      </c>
      <c r="L92">
        <f>F92 * J92</f>
        <v/>
      </c>
      <c r="M92">
        <f>I92</f>
        <v/>
      </c>
      <c r="W92">
        <f>IF(TODAY()&lt;P92, 0, IF(TODAY()&gt;Q92, R92, R92 * (TODAY()-P92)/(Q92-P92+1)))</f>
        <v/>
      </c>
      <c r="X92">
        <f>R92 * V92</f>
        <v/>
      </c>
      <c r="Y92">
        <f>U92</f>
        <v/>
      </c>
      <c r="AI92">
        <f>IF(TODAY()&lt;AB92, 0, IF(TODAY()&gt;AC92, AD92, AD92 * (TODAY()-AB92)/(AC92-AB92+1)))</f>
        <v/>
      </c>
      <c r="AJ92">
        <f>AD92 * AH92</f>
        <v/>
      </c>
      <c r="AK92">
        <f>AG92</f>
        <v/>
      </c>
    </row>
    <row r="93">
      <c r="K93">
        <f>IF(TODAY()&lt;D93, 0, IF(TODAY()&gt;E93, F93, F93 * (TODAY()-D93)/(E93-D93+1)))</f>
        <v/>
      </c>
      <c r="L93">
        <f>F93 * J93</f>
        <v/>
      </c>
      <c r="M93">
        <f>I93</f>
        <v/>
      </c>
      <c r="W93">
        <f>IF(TODAY()&lt;P93, 0, IF(TODAY()&gt;Q93, R93, R93 * (TODAY()-P93)/(Q93-P93+1)))</f>
        <v/>
      </c>
      <c r="X93">
        <f>R93 * V93</f>
        <v/>
      </c>
      <c r="Y93">
        <f>U93</f>
        <v/>
      </c>
      <c r="AI93">
        <f>IF(TODAY()&lt;AB93, 0, IF(TODAY()&gt;AC93, AD93, AD93 * (TODAY()-AB93)/(AC93-AB93+1)))</f>
        <v/>
      </c>
      <c r="AJ93">
        <f>AD93 * AH93</f>
        <v/>
      </c>
      <c r="AK93">
        <f>AG93</f>
        <v/>
      </c>
    </row>
    <row r="94">
      <c r="K94">
        <f>IF(TODAY()&lt;D94, 0, IF(TODAY()&gt;E94, F94, F94 * (TODAY()-D94)/(E94-D94+1)))</f>
        <v/>
      </c>
      <c r="L94">
        <f>F94 * J94</f>
        <v/>
      </c>
      <c r="M94">
        <f>I94</f>
        <v/>
      </c>
      <c r="W94">
        <f>IF(TODAY()&lt;P94, 0, IF(TODAY()&gt;Q94, R94, R94 * (TODAY()-P94)/(Q94-P94+1)))</f>
        <v/>
      </c>
      <c r="X94">
        <f>R94 * V94</f>
        <v/>
      </c>
      <c r="Y94">
        <f>U94</f>
        <v/>
      </c>
      <c r="AI94">
        <f>IF(TODAY()&lt;AB94, 0, IF(TODAY()&gt;AC94, AD94, AD94 * (TODAY()-AB94)/(AC94-AB94+1)))</f>
        <v/>
      </c>
      <c r="AJ94">
        <f>AD94 * AH94</f>
        <v/>
      </c>
      <c r="AK94">
        <f>AG94</f>
        <v/>
      </c>
    </row>
    <row r="95">
      <c r="K95">
        <f>IF(TODAY()&lt;D95, 0, IF(TODAY()&gt;E95, F95, F95 * (TODAY()-D95)/(E95-D95+1)))</f>
        <v/>
      </c>
      <c r="L95">
        <f>F95 * J95</f>
        <v/>
      </c>
      <c r="M95">
        <f>I95</f>
        <v/>
      </c>
      <c r="W95">
        <f>IF(TODAY()&lt;P95, 0, IF(TODAY()&gt;Q95, R95, R95 * (TODAY()-P95)/(Q95-P95+1)))</f>
        <v/>
      </c>
      <c r="X95">
        <f>R95 * V95</f>
        <v/>
      </c>
      <c r="Y95">
        <f>U95</f>
        <v/>
      </c>
      <c r="AI95">
        <f>IF(TODAY()&lt;AB95, 0, IF(TODAY()&gt;AC95, AD95, AD95 * (TODAY()-AB95)/(AC95-AB95+1)))</f>
        <v/>
      </c>
      <c r="AJ95">
        <f>AD95 * AH95</f>
        <v/>
      </c>
      <c r="AK95">
        <f>AG95</f>
        <v/>
      </c>
    </row>
    <row r="96">
      <c r="K96">
        <f>IF(TODAY()&lt;D96, 0, IF(TODAY()&gt;E96, F96, F96 * (TODAY()-D96)/(E96-D96+1)))</f>
        <v/>
      </c>
      <c r="L96">
        <f>F96 * J96</f>
        <v/>
      </c>
      <c r="M96">
        <f>I96</f>
        <v/>
      </c>
      <c r="W96">
        <f>IF(TODAY()&lt;P96, 0, IF(TODAY()&gt;Q96, R96, R96 * (TODAY()-P96)/(Q96-P96+1)))</f>
        <v/>
      </c>
      <c r="X96">
        <f>R96 * V96</f>
        <v/>
      </c>
      <c r="Y96">
        <f>U96</f>
        <v/>
      </c>
      <c r="AI96">
        <f>IF(TODAY()&lt;AB96, 0, IF(TODAY()&gt;AC96, AD96, AD96 * (TODAY()-AB96)/(AC96-AB96+1)))</f>
        <v/>
      </c>
      <c r="AJ96">
        <f>AD96 * AH96</f>
        <v/>
      </c>
      <c r="AK96">
        <f>AG96</f>
        <v/>
      </c>
    </row>
    <row r="97">
      <c r="K97">
        <f>IF(TODAY()&lt;D97, 0, IF(TODAY()&gt;E97, F97, F97 * (TODAY()-D97)/(E97-D97+1)))</f>
        <v/>
      </c>
      <c r="L97">
        <f>F97 * J97</f>
        <v/>
      </c>
      <c r="M97">
        <f>I97</f>
        <v/>
      </c>
      <c r="W97">
        <f>IF(TODAY()&lt;P97, 0, IF(TODAY()&gt;Q97, R97, R97 * (TODAY()-P97)/(Q97-P97+1)))</f>
        <v/>
      </c>
      <c r="X97">
        <f>R97 * V97</f>
        <v/>
      </c>
      <c r="Y97">
        <f>U97</f>
        <v/>
      </c>
      <c r="AI97">
        <f>IF(TODAY()&lt;AB97, 0, IF(TODAY()&gt;AC97, AD97, AD97 * (TODAY()-AB97)/(AC97-AB97+1)))</f>
        <v/>
      </c>
      <c r="AJ97">
        <f>AD97 * AH97</f>
        <v/>
      </c>
      <c r="AK97">
        <f>AG97</f>
        <v/>
      </c>
    </row>
    <row r="98">
      <c r="K98">
        <f>IF(TODAY()&lt;D98, 0, IF(TODAY()&gt;E98, F98, F98 * (TODAY()-D98)/(E98-D98+1)))</f>
        <v/>
      </c>
      <c r="L98">
        <f>F98 * J98</f>
        <v/>
      </c>
      <c r="M98">
        <f>I98</f>
        <v/>
      </c>
      <c r="W98">
        <f>IF(TODAY()&lt;P98, 0, IF(TODAY()&gt;Q98, R98, R98 * (TODAY()-P98)/(Q98-P98+1)))</f>
        <v/>
      </c>
      <c r="X98">
        <f>R98 * V98</f>
        <v/>
      </c>
      <c r="Y98">
        <f>U98</f>
        <v/>
      </c>
      <c r="AI98">
        <f>IF(TODAY()&lt;AB98, 0, IF(TODAY()&gt;AC98, AD98, AD98 * (TODAY()-AB98)/(AC98-AB98+1)))</f>
        <v/>
      </c>
      <c r="AJ98">
        <f>AD98 * AH98</f>
        <v/>
      </c>
      <c r="AK98">
        <f>AG98</f>
        <v/>
      </c>
    </row>
    <row r="99">
      <c r="K99">
        <f>IF(TODAY()&lt;D99, 0, IF(TODAY()&gt;E99, F99, F99 * (TODAY()-D99)/(E99-D99+1)))</f>
        <v/>
      </c>
      <c r="L99">
        <f>F99 * J99</f>
        <v/>
      </c>
      <c r="M99">
        <f>I99</f>
        <v/>
      </c>
      <c r="W99">
        <f>IF(TODAY()&lt;P99, 0, IF(TODAY()&gt;Q99, R99, R99 * (TODAY()-P99)/(Q99-P99+1)))</f>
        <v/>
      </c>
      <c r="X99">
        <f>R99 * V99</f>
        <v/>
      </c>
      <c r="Y99">
        <f>U99</f>
        <v/>
      </c>
      <c r="AI99">
        <f>IF(TODAY()&lt;AB99, 0, IF(TODAY()&gt;AC99, AD99, AD99 * (TODAY()-AB99)/(AC99-AB99+1)))</f>
        <v/>
      </c>
      <c r="AJ99">
        <f>AD99 * AH99</f>
        <v/>
      </c>
      <c r="AK99">
        <f>AG99</f>
        <v/>
      </c>
    </row>
    <row r="100">
      <c r="K100">
        <f>IF(TODAY()&lt;D100, 0, IF(TODAY()&gt;E100, F100, F100 * (TODAY()-D100)/(E100-D100+1)))</f>
        <v/>
      </c>
      <c r="L100">
        <f>F100 * J100</f>
        <v/>
      </c>
      <c r="M100">
        <f>I100</f>
        <v/>
      </c>
      <c r="W100">
        <f>IF(TODAY()&lt;P100, 0, IF(TODAY()&gt;Q100, R100, R100 * (TODAY()-P100)/(Q100-P100+1)))</f>
        <v/>
      </c>
      <c r="X100">
        <f>R100 * V100</f>
        <v/>
      </c>
      <c r="Y100">
        <f>U100</f>
        <v/>
      </c>
      <c r="AI100">
        <f>IF(TODAY()&lt;AB100, 0, IF(TODAY()&gt;AC100, AD100, AD100 * (TODAY()-AB100)/(AC100-AB100+1)))</f>
        <v/>
      </c>
      <c r="AJ100">
        <f>AD100 * AH100</f>
        <v/>
      </c>
      <c r="AK100">
        <f>AG100</f>
        <v/>
      </c>
    </row>
    <row r="101">
      <c r="K101">
        <f>IF(TODAY()&lt;D101, 0, IF(TODAY()&gt;E101, F101, F101 * (TODAY()-D101)/(E101-D101+1)))</f>
        <v/>
      </c>
      <c r="L101">
        <f>F101 * J101</f>
        <v/>
      </c>
      <c r="M101">
        <f>I101</f>
        <v/>
      </c>
      <c r="W101">
        <f>IF(TODAY()&lt;P101, 0, IF(TODAY()&gt;Q101, R101, R101 * (TODAY()-P101)/(Q101-P101+1)))</f>
        <v/>
      </c>
      <c r="X101">
        <f>R101 * V101</f>
        <v/>
      </c>
      <c r="Y101">
        <f>U101</f>
        <v/>
      </c>
      <c r="AI101">
        <f>IF(TODAY()&lt;AB101, 0, IF(TODAY()&gt;AC101, AD101, AD101 * (TODAY()-AB101)/(AC101-AB101+1)))</f>
        <v/>
      </c>
      <c r="AJ101">
        <f>AD101 * AH101</f>
        <v/>
      </c>
      <c r="AK101">
        <f>AG101</f>
        <v/>
      </c>
    </row>
    <row r="102">
      <c r="K102">
        <f>IF(TODAY()&lt;D102, 0, IF(TODAY()&gt;E102, F102, F102 * (TODAY()-D102)/(E102-D102+1)))</f>
        <v/>
      </c>
      <c r="L102">
        <f>F102 * J102</f>
        <v/>
      </c>
      <c r="M102">
        <f>I102</f>
        <v/>
      </c>
      <c r="W102">
        <f>IF(TODAY()&lt;P102, 0, IF(TODAY()&gt;Q102, R102, R102 * (TODAY()-P102)/(Q102-P102+1)))</f>
        <v/>
      </c>
      <c r="X102">
        <f>R102 * V102</f>
        <v/>
      </c>
      <c r="Y102">
        <f>U102</f>
        <v/>
      </c>
      <c r="AI102">
        <f>IF(TODAY()&lt;AB102, 0, IF(TODAY()&gt;AC102, AD102, AD102 * (TODAY()-AB102)/(AC102-AB102+1)))</f>
        <v/>
      </c>
      <c r="AJ102">
        <f>AD102 * AH102</f>
        <v/>
      </c>
      <c r="AK102">
        <f>AG102</f>
        <v/>
      </c>
    </row>
  </sheetData>
  <mergeCells count="3">
    <mergeCell ref="P1:AA1"/>
    <mergeCell ref="AB1:AM1"/>
    <mergeCell ref="D1:O1"/>
  </mergeCells>
  <conditionalFormatting sqref="K3:K103">
    <cfRule type="cellIs" priority="1" operator="lessThan" dxfId="0">
      <formula>0</formula>
    </cfRule>
  </conditionalFormatting>
  <conditionalFormatting sqref="W3:W103">
    <cfRule type="cellIs" priority="2" operator="lessThan" dxfId="0">
      <formula>0</formula>
    </cfRule>
  </conditionalFormatting>
  <conditionalFormatting sqref="AI3:AI10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Aさんチーム</t>
        </is>
      </c>
    </row>
    <row r="2">
      <c r="A2" s="4" t="inlineStr">
        <is>
          <t>EVM指標集計</t>
        </is>
      </c>
    </row>
    <row r="3">
      <c r="A3" s="5" t="inlineStr">
        <is>
          <t>フェーズ</t>
        </is>
      </c>
      <c r="B3" s="5" t="inlineStr">
        <is>
          <t>PV (計画値)</t>
        </is>
      </c>
      <c r="C3" s="5" t="inlineStr">
        <is>
          <t>EV (出来高)</t>
        </is>
      </c>
      <c r="D3" s="5" t="inlineStr">
        <is>
          <t>AC (実績コスト)</t>
        </is>
      </c>
      <c r="E3" s="5" t="inlineStr">
        <is>
          <t>SV</t>
        </is>
      </c>
      <c r="F3" s="5" t="inlineStr">
        <is>
          <t>CV</t>
        </is>
      </c>
      <c r="G3" s="5" t="inlineStr">
        <is>
          <t>SPI</t>
        </is>
      </c>
      <c r="H3" s="5" t="inlineStr">
        <is>
          <t>CPI</t>
        </is>
      </c>
    </row>
    <row r="4">
      <c r="A4" t="inlineStr">
        <is>
          <t>作成</t>
        </is>
      </c>
      <c r="B4">
        <f>SUMIFS(WBS_EVM!K:K, WBS_EVM!$O:$O, "Aさん")</f>
        <v/>
      </c>
      <c r="C4">
        <f>SUMIFS(WBS_EVM!L:L, WBS_EVM!$O:$O, "Aさん")</f>
        <v/>
      </c>
      <c r="D4">
        <f>SUMIFS(WBS_EVM!M:M, WBS_EVM!$O:$O, "Aさん")</f>
        <v/>
      </c>
      <c r="E4">
        <f>C4-B4</f>
        <v/>
      </c>
      <c r="F4">
        <f>C4-D4</f>
        <v/>
      </c>
      <c r="G4">
        <f>IFERROR(C4/B4, 1)</f>
        <v/>
      </c>
      <c r="H4">
        <f>IFERROR(C4/D4, 1)</f>
        <v/>
      </c>
    </row>
    <row r="5">
      <c r="A5" t="inlineStr">
        <is>
          <t>レビュー実施</t>
        </is>
      </c>
      <c r="B5">
        <f>SUMIFS(WBS_EVM!W:W, WBS_EVM!$AA:$AA, "Aさん")</f>
        <v/>
      </c>
      <c r="C5">
        <f>SUMIFS(WBS_EVM!X:X, WBS_EVM!$AA:$AA, "Aさん")</f>
        <v/>
      </c>
      <c r="D5">
        <f>SUMIFS(WBS_EVM!Y:Y, WBS_EVM!$AA:$AA, "Aさん")</f>
        <v/>
      </c>
      <c r="E5">
        <f>C5-B5</f>
        <v/>
      </c>
      <c r="F5">
        <f>C5-D5</f>
        <v/>
      </c>
      <c r="G5">
        <f>IFERROR(C5/B5, 1)</f>
        <v/>
      </c>
      <c r="H5">
        <f>IFERROR(C5/D5, 1)</f>
        <v/>
      </c>
    </row>
    <row r="6">
      <c r="A6" t="inlineStr">
        <is>
          <t>レビュー後修正</t>
        </is>
      </c>
      <c r="B6">
        <f>SUMIFS(WBS_EVM!AI:AI, WBS_EVM!$AM:$AM, "Aさん")</f>
        <v/>
      </c>
      <c r="C6">
        <f>SUMIFS(WBS_EVM!AJ:AJ, WBS_EVM!$AM:$AM, "Aさん")</f>
        <v/>
      </c>
      <c r="D6">
        <f>SUMIFS(WBS_EVM!AK:AK, WBS_EVM!$AM:$AM, "Aさん")</f>
        <v/>
      </c>
      <c r="E6">
        <f>C6-B6</f>
        <v/>
      </c>
      <c r="F6">
        <f>C6-D6</f>
        <v/>
      </c>
      <c r="G6">
        <f>IFERROR(C6/B6, 1)</f>
        <v/>
      </c>
      <c r="H6">
        <f>IFERROR(C6/D6, 1)</f>
        <v/>
      </c>
    </row>
    <row r="8">
      <c r="A8" s="4" t="inlineStr">
        <is>
          <t>タスクメトリクス</t>
        </is>
      </c>
    </row>
    <row r="9">
      <c r="A9" s="5" t="inlineStr">
        <is>
          <t>フェーズ</t>
        </is>
      </c>
      <c r="B9" s="5" t="inlineStr">
        <is>
          <t>総数</t>
        </is>
      </c>
      <c r="C9" s="5" t="inlineStr">
        <is>
          <t>仕掛かり(予定)</t>
        </is>
      </c>
      <c r="D9" s="5" t="inlineStr">
        <is>
          <t>仕掛かり(実績)</t>
        </is>
      </c>
      <c r="E9" s="5" t="inlineStr">
        <is>
          <t>完了(予定)</t>
        </is>
      </c>
      <c r="F9" s="5" t="inlineStr">
        <is>
          <t>完了(実績)</t>
        </is>
      </c>
    </row>
    <row r="10">
      <c r="A10" t="inlineStr">
        <is>
          <t>作成</t>
        </is>
      </c>
      <c r="B10">
        <f>COUNTIFS(WBS_EVM!$O:$O, "Aさん", WBS_EVM!$F:$F, "&gt;0")</f>
        <v/>
      </c>
      <c r="F10">
        <f>COUNTIFS(WBS_EVM!$O:$O, "Aさん", WBS_EVM!$I:$I, "&lt;&gt;")</f>
        <v/>
      </c>
    </row>
    <row r="11">
      <c r="A11" t="inlineStr">
        <is>
          <t>レビュー実施</t>
        </is>
      </c>
      <c r="B11">
        <f>COUNTIFS(WBS_EVM!$AA:$AA, "Aさん", WBS_EVM!$R:$R, "&gt;0")</f>
        <v/>
      </c>
      <c r="F11">
        <f>COUNTIFS(WBS_EVM!$AA:$AA, "Aさん", WBS_EVM!$U:$U, "&lt;&gt;")</f>
        <v/>
      </c>
    </row>
    <row r="12">
      <c r="A12" t="inlineStr">
        <is>
          <t>レビュー後修正</t>
        </is>
      </c>
      <c r="B12">
        <f>COUNTIFS(WBS_EVM!$AM:$AM, "Aさん", WBS_EVM!$AD:$AD, "&gt;0")</f>
        <v/>
      </c>
      <c r="F12">
        <f>COUNTIFS(WBS_EVM!$AM:$AM, "Aさん", WBS_EVM!$AG:$AG, "&lt;&gt;")</f>
        <v/>
      </c>
    </row>
    <row r="15">
      <c r="A15" s="1" t="inlineStr">
        <is>
          <t>Dさんチーム</t>
        </is>
      </c>
    </row>
    <row r="16">
      <c r="A16" s="4" t="inlineStr">
        <is>
          <t>EVM指標集計</t>
        </is>
      </c>
    </row>
    <row r="17">
      <c r="A17" s="5" t="inlineStr">
        <is>
          <t>フェーズ</t>
        </is>
      </c>
      <c r="B17" s="5" t="inlineStr">
        <is>
          <t>PV (計画値)</t>
        </is>
      </c>
      <c r="C17" s="5" t="inlineStr">
        <is>
          <t>EV (出来高)</t>
        </is>
      </c>
      <c r="D17" s="5" t="inlineStr">
        <is>
          <t>AC (実績コスト)</t>
        </is>
      </c>
      <c r="E17" s="5" t="inlineStr">
        <is>
          <t>SV</t>
        </is>
      </c>
      <c r="F17" s="5" t="inlineStr">
        <is>
          <t>CV</t>
        </is>
      </c>
      <c r="G17" s="5" t="inlineStr">
        <is>
          <t>SPI</t>
        </is>
      </c>
      <c r="H17" s="5" t="inlineStr">
        <is>
          <t>CPI</t>
        </is>
      </c>
    </row>
    <row r="18">
      <c r="A18" t="inlineStr">
        <is>
          <t>作成</t>
        </is>
      </c>
      <c r="B18">
        <f>SUMIFS(WBS_EVM!K:K, WBS_EVM!$O:$O, "Dさん")</f>
        <v/>
      </c>
      <c r="C18">
        <f>SUMIFS(WBS_EVM!L:L, WBS_EVM!$O:$O, "Dさん")</f>
        <v/>
      </c>
      <c r="D18">
        <f>SUMIFS(WBS_EVM!M:M, WBS_EVM!$O:$O, "Dさん")</f>
        <v/>
      </c>
      <c r="E18">
        <f>C18-B18</f>
        <v/>
      </c>
      <c r="F18">
        <f>C18-D18</f>
        <v/>
      </c>
      <c r="G18">
        <f>IFERROR(C18/B18, 1)</f>
        <v/>
      </c>
      <c r="H18">
        <f>IFERROR(C18/D18, 1)</f>
        <v/>
      </c>
    </row>
    <row r="19">
      <c r="A19" t="inlineStr">
        <is>
          <t>レビュー実施</t>
        </is>
      </c>
      <c r="B19">
        <f>SUMIFS(WBS_EVM!W:W, WBS_EVM!$AA:$AA, "Dさん")</f>
        <v/>
      </c>
      <c r="C19">
        <f>SUMIFS(WBS_EVM!X:X, WBS_EVM!$AA:$AA, "Dさん")</f>
        <v/>
      </c>
      <c r="D19">
        <f>SUMIFS(WBS_EVM!Y:Y, WBS_EVM!$AA:$AA, "Dさん")</f>
        <v/>
      </c>
      <c r="E19">
        <f>C19-B19</f>
        <v/>
      </c>
      <c r="F19">
        <f>C19-D19</f>
        <v/>
      </c>
      <c r="G19">
        <f>IFERROR(C19/B19, 1)</f>
        <v/>
      </c>
      <c r="H19">
        <f>IFERROR(C19/D19, 1)</f>
        <v/>
      </c>
    </row>
    <row r="20">
      <c r="A20" t="inlineStr">
        <is>
          <t>レビュー後修正</t>
        </is>
      </c>
      <c r="B20">
        <f>SUMIFS(WBS_EVM!AI:AI, WBS_EVM!$AM:$AM, "Dさん")</f>
        <v/>
      </c>
      <c r="C20">
        <f>SUMIFS(WBS_EVM!AJ:AJ, WBS_EVM!$AM:$AM, "Dさん")</f>
        <v/>
      </c>
      <c r="D20">
        <f>SUMIFS(WBS_EVM!AK:AK, WBS_EVM!$AM:$AM, "Dさん")</f>
        <v/>
      </c>
      <c r="E20">
        <f>C20-B20</f>
        <v/>
      </c>
      <c r="F20">
        <f>C20-D20</f>
        <v/>
      </c>
      <c r="G20">
        <f>IFERROR(C20/B20, 1)</f>
        <v/>
      </c>
      <c r="H20">
        <f>IFERROR(C20/D20, 1)</f>
        <v/>
      </c>
    </row>
    <row r="22">
      <c r="A22" s="4" t="inlineStr">
        <is>
          <t>タスクメトリクス</t>
        </is>
      </c>
    </row>
    <row r="23">
      <c r="A23" s="5" t="inlineStr">
        <is>
          <t>フェーズ</t>
        </is>
      </c>
      <c r="B23" s="5" t="inlineStr">
        <is>
          <t>総数</t>
        </is>
      </c>
      <c r="C23" s="5" t="inlineStr">
        <is>
          <t>仕掛かり(予定)</t>
        </is>
      </c>
      <c r="D23" s="5" t="inlineStr">
        <is>
          <t>仕掛かり(実績)</t>
        </is>
      </c>
      <c r="E23" s="5" t="inlineStr">
        <is>
          <t>完了(予定)</t>
        </is>
      </c>
      <c r="F23" s="5" t="inlineStr">
        <is>
          <t>完了(実績)</t>
        </is>
      </c>
    </row>
    <row r="24">
      <c r="A24" t="inlineStr">
        <is>
          <t>作成</t>
        </is>
      </c>
      <c r="B24">
        <f>COUNTIFS(WBS_EVM!$O:$O, "Dさん", WBS_EVM!$F:$F, "&gt;0")</f>
        <v/>
      </c>
      <c r="F24">
        <f>COUNTIFS(WBS_EVM!$O:$O, "Dさん", WBS_EVM!$I:$I, "&lt;&gt;")</f>
        <v/>
      </c>
    </row>
    <row r="25">
      <c r="A25" t="inlineStr">
        <is>
          <t>レビュー実施</t>
        </is>
      </c>
      <c r="B25">
        <f>COUNTIFS(WBS_EVM!$AA:$AA, "Dさん", WBS_EVM!$R:$R, "&gt;0")</f>
        <v/>
      </c>
      <c r="F25">
        <f>COUNTIFS(WBS_EVM!$AA:$AA, "Dさん", WBS_EVM!$U:$U, "&lt;&gt;")</f>
        <v/>
      </c>
    </row>
    <row r="26">
      <c r="A26" t="inlineStr">
        <is>
          <t>レビュー後修正</t>
        </is>
      </c>
      <c r="B26">
        <f>COUNTIFS(WBS_EVM!$AM:$AM, "Dさん", WBS_EVM!$AD:$AD, "&gt;0")</f>
        <v/>
      </c>
      <c r="F26">
        <f>COUNTIFS(WBS_EVM!$AM:$AM, "Dさん", WBS_EVM!$AG:$AG, "&lt;&gt;")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2026-05-03T06:02:34Z</dcterms:created>
  <dcterms:modified xsi:type="dcterms:W3CDTF">2026-05-03T06:02:34Z</dcterms:modified>
</cp:coreProperties>
</file>